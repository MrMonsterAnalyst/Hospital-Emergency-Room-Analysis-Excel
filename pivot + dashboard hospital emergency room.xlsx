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LBSTI Gautam Nagar\Desktop\"/>
    </mc:Choice>
  </mc:AlternateContent>
  <xr:revisionPtr revIDLastSave="0" documentId="13_ncr:1_{BA13487B-A915-4689-AC83-82BD56A3622C}" xr6:coauthVersionLast="47" xr6:coauthVersionMax="47" xr10:uidLastSave="{00000000-0000-0000-0000-000000000000}"/>
  <bookViews>
    <workbookView xWindow="20280" yWindow="-120" windowWidth="29040" windowHeight="15840" activeTab="1" xr2:uid="{924DCEB5-1345-4D89-BA02-344F3878BE78}"/>
  </bookViews>
  <sheets>
    <sheet name="Pivot Report" sheetId="1" r:id="rId1"/>
    <sheet name="DashBoard" sheetId="2" r:id="rId2"/>
    <sheet name="Daily ER No of Patient" sheetId="3" r:id="rId3"/>
    <sheet name="Average wait time daily trend" sheetId="4" r:id="rId4"/>
    <sheet name="Patient Satisfaction Score" sheetId="5" r:id="rId5"/>
  </sheets>
  <definedNames>
    <definedName name="Slicer_date__Month">#N/A</definedName>
    <definedName name="Slicer_date__Year">#N/A</definedName>
  </definedNames>
  <calcPr calcId="191029"/>
  <pivotCaches>
    <pivotCache cacheId="1129" r:id="rId6"/>
    <pivotCache cacheId="1132" r:id="rId7"/>
    <pivotCache cacheId="1135" r:id="rId8"/>
    <pivotCache cacheId="1138" r:id="rId9"/>
    <pivotCache cacheId="1141" r:id="rId10"/>
    <pivotCache cacheId="1144" r:id="rId11"/>
    <pivotCache cacheId="1147" r:id="rId12"/>
    <pivotCache cacheId="1150" r:id="rId13"/>
    <pivotCache cacheId="1153" r:id="rId14"/>
    <pivotCache cacheId="1156" r:id="rId15"/>
    <pivotCache cacheId="1159" r:id="rId16"/>
    <pivotCache cacheId="1162" r:id="rId17"/>
    <pivotCache cacheId="1165"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e031f3a-c858-4d7c-b8bf-5c2ac14845ed" name="Hospital Emergency Room Data" connection="Query - Hospital Emergency Room Data"/>
          <x15:modelTable id="Calender_Table_41df2c49-339e-41ff-a5ab-fc05b43a97d7"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9" i="1" l="1"/>
  <c r="N49" i="1"/>
  <c r="O49" i="1"/>
  <c r="N50" i="1"/>
  <c r="O50" i="1"/>
  <c r="M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87AED2-8935-4334-AE46-344244C21FBA}" name="Query - Calender_Table" description="Connection to the 'Calender_Table' query in the workbook." type="100" refreshedVersion="8" minRefreshableVersion="5">
    <extLst>
      <ext xmlns:x15="http://schemas.microsoft.com/office/spreadsheetml/2010/11/main" uri="{DE250136-89BD-433C-8126-D09CA5730AF9}">
        <x15:connection id="bed70cde-a4eb-492b-ac80-7f76dda903c4"/>
      </ext>
    </extLst>
  </connection>
  <connection id="2" xr16:uid="{0D838146-242D-4729-9207-4878B27E945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53e626e-3570-4f8a-ad22-114aa8bac37e"/>
      </ext>
    </extLst>
  </connection>
  <connection id="3" xr16:uid="{31D507EC-11E0-495E-A3F2-E70C28BFF45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<sst xmlns="http://schemas.openxmlformats.org/spreadsheetml/2006/main" count="75" uniqueCount="48">
  <si>
    <t>Distinct Count of Patient Id</t>
  </si>
  <si>
    <t>No. of patient</t>
  </si>
  <si>
    <t>Average of Patient Waittime</t>
  </si>
  <si>
    <t>Average of Patient Satisfaction Score</t>
  </si>
  <si>
    <t>Row Labels</t>
  </si>
  <si>
    <t>Grand Total</t>
  </si>
  <si>
    <t>Count of Patient Id</t>
  </si>
  <si>
    <t>2023</t>
  </si>
  <si>
    <t>0-09</t>
  </si>
  <si>
    <t>10-19</t>
  </si>
  <si>
    <t>20-29</t>
  </si>
  <si>
    <t>30-39</t>
  </si>
  <si>
    <t>40-49</t>
  </si>
  <si>
    <t>50-59</t>
  </si>
  <si>
    <t>60-69</t>
  </si>
  <si>
    <t>70-79</t>
  </si>
  <si>
    <t>Jul</t>
  </si>
  <si>
    <t>Cardiology</t>
  </si>
  <si>
    <t>Gastroenterology</t>
  </si>
  <si>
    <t>General Practice</t>
  </si>
  <si>
    <t>Neurology</t>
  </si>
  <si>
    <t>None</t>
  </si>
  <si>
    <t>Orthopedics</t>
  </si>
  <si>
    <t>Physiotherapy</t>
  </si>
  <si>
    <t>Renal</t>
  </si>
  <si>
    <t>Female</t>
  </si>
  <si>
    <t>Male</t>
  </si>
  <si>
    <t>Delay</t>
  </si>
  <si>
    <t>Ontime</t>
  </si>
  <si>
    <t>2024</t>
  </si>
  <si>
    <t>Jan</t>
  </si>
  <si>
    <t>Feb</t>
  </si>
  <si>
    <t>Mar</t>
  </si>
  <si>
    <t>Apr</t>
  </si>
  <si>
    <t>May</t>
  </si>
  <si>
    <t>Jun</t>
  </si>
  <si>
    <t>Aug</t>
  </si>
  <si>
    <t>Sep</t>
  </si>
  <si>
    <t>Oct</t>
  </si>
  <si>
    <t>Nov</t>
  </si>
  <si>
    <t>Dec</t>
  </si>
  <si>
    <t>Admitted</t>
  </si>
  <si>
    <t>Not Admitted</t>
  </si>
  <si>
    <t>Count of Patient Id2</t>
  </si>
  <si>
    <t>Admission Status</t>
  </si>
  <si>
    <t>Patients</t>
  </si>
  <si>
    <t>Total %</t>
  </si>
  <si>
    <t>Status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</si>
</sst>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05668D"/>
        <bgColor indexed="64"/>
      </patternFill>
    </fill>
    <fill>
      <patternFill patternType="solid">
        <fgColor rgb="FF002060"/>
        <bgColor indexed="64"/>
      </patternFill>
    </fill>
    <fill>
      <patternFill patternType="solid">
        <fgColor rgb="FFF0F3BD"/>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 borderId="0" xfId="0" applyFill="1"/>
    <xf numFmtId="0" fontId="0" fillId="0" borderId="0" xfId="0" applyNumberFormat="1"/>
    <xf numFmtId="10" fontId="0" fillId="0" borderId="0" xfId="0" applyNumberFormat="1"/>
    <xf numFmtId="0" fontId="2" fillId="4" borderId="0" xfId="0" applyFont="1" applyFill="1" applyBorder="1" applyAlignment="1">
      <alignment horizontal="center" vertical="center"/>
    </xf>
    <xf numFmtId="0" fontId="0" fillId="4" borderId="0" xfId="0" applyFill="1" applyBorder="1" applyAlignment="1">
      <alignment horizontal="center" vertical="center"/>
    </xf>
    <xf numFmtId="9" fontId="0" fillId="4" borderId="0" xfId="1" applyFont="1" applyFill="1" applyBorder="1" applyAlignment="1">
      <alignment horizontal="center" vertical="center"/>
    </xf>
  </cellXfs>
  <cellStyles count="2">
    <cellStyle name="Normal" xfId="0" builtinId="0"/>
    <cellStyle name="Percent" xfId="1" builtinId="5"/>
  </cellStyles>
  <dxfs count="41">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14" formatCode="0.00%"/>
    </dxf>
    <dxf>
      <numFmt numFmtId="0" formatCode="General"/>
    </dxf>
    <dxf>
      <font>
        <b/>
        <color theme="1"/>
      </font>
      <border>
        <bottom style="thin">
          <color theme="4"/>
        </bottom>
        <vertical/>
        <horizontal/>
      </border>
    </dxf>
    <dxf>
      <font>
        <b val="0"/>
        <i val="0"/>
        <sz val="12"/>
        <color rgb="FFF0F3BD"/>
        <name val="Segoe UI Semibold"/>
        <family val="2"/>
        <scheme val="none"/>
      </font>
      <fill>
        <patternFill patternType="solid">
          <fgColor indexed="64"/>
          <bgColor rgb="FFF0F3BD"/>
        </patternFill>
      </fill>
      <border diagonalUp="0" diagonalDown="0">
        <left/>
        <right/>
        <top/>
        <bottom/>
        <vertical/>
        <horizontal/>
      </border>
    </dxf>
    <dxf>
      <numFmt numFmtId="0" formatCode="General"/>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s>
  <tableStyles count="1" defaultTableStyle="TableStyleMedium2" defaultPivotStyle="PivotStyleLight16">
    <tableStyle name="hospital year slicer" pivot="0" table="0" count="10" xr9:uid="{E9ADA543-4F30-4010-8BB2-53B831E4B808}">
      <tableStyleElement type="wholeTable" dxfId="29"/>
      <tableStyleElement type="headerRow" dxfId="28"/>
    </tableStyle>
  </tableStyles>
  <colors>
    <mruColors>
      <color rgb="FFF0F3BD"/>
      <color rgb="FF3366FF"/>
      <color rgb="FFFFCC99"/>
      <color rgb="FFFF0000"/>
      <color rgb="FF05668D"/>
      <color rgb="FF9DB4C0"/>
      <color rgb="FF253237"/>
      <color rgb="FFFF8F8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ospital year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Report!PivotTable13</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CBDE12-740A-4D43-B53E-FFB6FF96800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3524787662411759"/>
                  <c:h val="0.41616713934798744"/>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423FE2-C0A0-4E6E-8D75-4CDB5A4C8B1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0320346320346314"/>
                  <c:h val="0.45607371527518109"/>
                </c:manualLayout>
              </c15:layout>
              <c15:dlblFieldTable/>
              <c15:showDataLabelsRange val="1"/>
            </c:ext>
          </c:extLst>
        </c:dLbl>
      </c:pivotFmt>
    </c:pivotFmts>
    <c:plotArea>
      <c:layout>
        <c:manualLayout>
          <c:layoutTarget val="inner"/>
          <c:xMode val="edge"/>
          <c:yMode val="edge"/>
          <c:x val="8.1403302848013559E-2"/>
          <c:y val="0.18333323745476929"/>
          <c:w val="0.40737017461858366"/>
          <c:h val="0.6333333333333333"/>
        </c:manualLayout>
      </c:layout>
      <c:barChart>
        <c:barDir val="bar"/>
        <c:grouping val="clustered"/>
        <c:varyColors val="0"/>
        <c:ser>
          <c:idx val="0"/>
          <c:order val="0"/>
          <c:tx>
            <c:strRef>
              <c:f>'Pivot Report'!$O$42:$O$43</c:f>
              <c:strCache>
                <c:ptCount val="1"/>
                <c:pt idx="0">
                  <c:v>Count of Patient Id</c:v>
                </c:pt>
              </c:strCache>
            </c:strRef>
          </c:tx>
          <c:spPr>
            <a:solidFill>
              <a:schemeClr val="accent1"/>
            </a:solidFill>
            <a:ln>
              <a:noFill/>
            </a:ln>
            <a:effectLst/>
          </c:spPr>
          <c:invertIfNegative val="0"/>
          <c:dLbls>
            <c:dLbl>
              <c:idx val="0"/>
              <c:tx>
                <c:rich>
                  <a:bodyPr/>
                  <a:lstStyle/>
                  <a:p>
                    <a:fld id="{AD423FE2-C0A0-4E6E-8D75-4CDB5A4C8B1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0320346320346314"/>
                      <c:h val="0.45607371527518109"/>
                    </c:manualLayout>
                  </c15:layout>
                  <c15:dlblFieldTable/>
                  <c15:showDataLabelsRange val="1"/>
                </c:ext>
                <c:ext xmlns:c16="http://schemas.microsoft.com/office/drawing/2014/chart" uri="{C3380CC4-5D6E-409C-BE32-E72D297353CC}">
                  <c16:uniqueId val="{00000004-EBBC-4F12-BC81-5FBE48AD2E6E}"/>
                </c:ext>
              </c:extLst>
            </c:dLbl>
            <c:dLbl>
              <c:idx val="1"/>
              <c:tx>
                <c:rich>
                  <a:bodyPr/>
                  <a:lstStyle/>
                  <a:p>
                    <a:fld id="{CCCBDE12-740A-4D43-B53E-FFB6FF96800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3524787662411759"/>
                      <c:h val="0.41616713934798744"/>
                    </c:manualLayout>
                  </c15:layout>
                  <c15:dlblFieldTable/>
                  <c15:showDataLabelsRange val="1"/>
                </c:ext>
                <c:ext xmlns:c16="http://schemas.microsoft.com/office/drawing/2014/chart" uri="{C3380CC4-5D6E-409C-BE32-E72D297353CC}">
                  <c16:uniqueId val="{00000003-EBBC-4F12-BC81-5FBE48AD2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Report'!$O$42:$O$43</c:f>
              <c:strCache>
                <c:ptCount val="2"/>
                <c:pt idx="0">
                  <c:v>Admitted</c:v>
                </c:pt>
                <c:pt idx="1">
                  <c:v>Not Admitted</c:v>
                </c:pt>
              </c:strCache>
            </c:strRef>
          </c:cat>
          <c:val>
            <c:numRef>
              <c:f>'Pivot Report'!$O$42:$O$43</c:f>
              <c:numCache>
                <c:formatCode>General</c:formatCode>
                <c:ptCount val="2"/>
                <c:pt idx="0">
                  <c:v>4612</c:v>
                </c:pt>
                <c:pt idx="1">
                  <c:v>4604</c:v>
                </c:pt>
              </c:numCache>
            </c:numRef>
          </c:val>
          <c:extLst>
            <c:ext xmlns:c15="http://schemas.microsoft.com/office/drawing/2012/chart" uri="{02D57815-91ED-43cb-92C2-25804820EDAC}">
              <c15:datalabelsRange>
                <c15:f>'Pivot Report'!$O$42:$O$43</c15:f>
                <c15:dlblRangeCache>
                  <c:ptCount val="2"/>
                  <c:pt idx="0">
                    <c:v>50.04%</c:v>
                  </c:pt>
                  <c:pt idx="1">
                    <c:v>49.96%</c:v>
                  </c:pt>
                </c15:dlblRangeCache>
              </c15:datalabelsRange>
            </c:ext>
            <c:ext xmlns:c16="http://schemas.microsoft.com/office/drawing/2014/chart" uri="{C3380CC4-5D6E-409C-BE32-E72D297353CC}">
              <c16:uniqueId val="{00000000-EBBC-4F12-BC81-5FBE48AD2E6E}"/>
            </c:ext>
          </c:extLst>
        </c:ser>
        <c:ser>
          <c:idx val="1"/>
          <c:order val="1"/>
          <c:tx>
            <c:strRef>
              <c:f>'Pivot Report'!$O$42:$O$43</c:f>
              <c:strCache>
                <c:ptCount val="1"/>
                <c:pt idx="0">
                  <c:v>Count of Patient Id2</c:v>
                </c:pt>
              </c:strCache>
            </c:strRef>
          </c:tx>
          <c:spPr>
            <a:noFill/>
            <a:ln>
              <a:noFill/>
            </a:ln>
            <a:effectLst/>
          </c:spPr>
          <c:invertIfNegative val="0"/>
          <c:cat>
            <c:strRef>
              <c:f>'Pivot Report'!$O$42:$O$43</c:f>
              <c:strCache>
                <c:ptCount val="2"/>
                <c:pt idx="0">
                  <c:v>Admitted</c:v>
                </c:pt>
                <c:pt idx="1">
                  <c:v>Not Admitted</c:v>
                </c:pt>
              </c:strCache>
            </c:strRef>
          </c:cat>
          <c:val>
            <c:numRef>
              <c:f>'Pivot Report'!$O$42:$O$43</c:f>
              <c:numCache>
                <c:formatCode>0.00%</c:formatCode>
                <c:ptCount val="2"/>
                <c:pt idx="0">
                  <c:v>0.50043402777777779</c:v>
                </c:pt>
                <c:pt idx="1">
                  <c:v>0.49956597222222221</c:v>
                </c:pt>
              </c:numCache>
            </c:numRef>
          </c:val>
          <c:extLst>
            <c:ext xmlns:c16="http://schemas.microsoft.com/office/drawing/2014/chart" uri="{C3380CC4-5D6E-409C-BE32-E72D297353CC}">
              <c16:uniqueId val="{00000008-EBBC-4F12-BC81-5FBE48AD2E6E}"/>
            </c:ext>
          </c:extLst>
        </c:ser>
        <c:dLbls>
          <c:showLegendKey val="0"/>
          <c:showVal val="0"/>
          <c:showCatName val="0"/>
          <c:showSerName val="0"/>
          <c:showPercent val="0"/>
          <c:showBubbleSize val="0"/>
        </c:dLbls>
        <c:gapWidth val="40"/>
        <c:axId val="39975903"/>
        <c:axId val="39975423"/>
      </c:barChart>
      <c:catAx>
        <c:axId val="39975903"/>
        <c:scaling>
          <c:orientation val="minMax"/>
        </c:scaling>
        <c:delete val="1"/>
        <c:axPos val="l"/>
        <c:numFmt formatCode="General" sourceLinked="1"/>
        <c:majorTickMark val="out"/>
        <c:minorTickMark val="none"/>
        <c:tickLblPos val="nextTo"/>
        <c:crossAx val="39975423"/>
        <c:crosses val="autoZero"/>
        <c:auto val="1"/>
        <c:lblAlgn val="ctr"/>
        <c:lblOffset val="100"/>
        <c:noMultiLvlLbl val="0"/>
      </c:catAx>
      <c:valAx>
        <c:axId val="39975423"/>
        <c:scaling>
          <c:orientation val="minMax"/>
        </c:scaling>
        <c:delete val="1"/>
        <c:axPos val="b"/>
        <c:numFmt formatCode="General" sourceLinked="1"/>
        <c:majorTickMark val="out"/>
        <c:minorTickMark val="none"/>
        <c:tickLblPos val="nextTo"/>
        <c:crossAx val="3997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Report'!$B$37</c:f>
              <c:strCache>
                <c:ptCount val="1"/>
                <c:pt idx="0">
                  <c:v>Total</c:v>
                </c:pt>
              </c:strCache>
            </c:strRef>
          </c:tx>
          <c:spPr>
            <a:solidFill>
              <a:schemeClr val="accent2">
                <a:lumMod val="60000"/>
                <a:lumOff val="40000"/>
              </a:schemeClr>
            </a:solidFill>
            <a:ln w="25400">
              <a:noFill/>
            </a:ln>
            <a:effectLst/>
          </c:spPr>
          <c:cat>
            <c:strRef>
              <c:f>'Pivot Report'!$A$38:$A$617</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Report'!$B$38:$B$617</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D650-4CB0-8A44-CAB0A1AC3985}"/>
            </c:ext>
          </c:extLst>
        </c:ser>
        <c:dLbls>
          <c:showLegendKey val="0"/>
          <c:showVal val="0"/>
          <c:showCatName val="0"/>
          <c:showSerName val="0"/>
          <c:showPercent val="0"/>
          <c:showBubbleSize val="0"/>
        </c:dLbls>
        <c:axId val="367735135"/>
        <c:axId val="357526799"/>
      </c:areaChart>
      <c:catAx>
        <c:axId val="367735135"/>
        <c:scaling>
          <c:orientation val="minMax"/>
        </c:scaling>
        <c:delete val="1"/>
        <c:axPos val="b"/>
        <c:numFmt formatCode="General" sourceLinked="1"/>
        <c:majorTickMark val="out"/>
        <c:minorTickMark val="none"/>
        <c:tickLblPos val="nextTo"/>
        <c:crossAx val="357526799"/>
        <c:crosses val="autoZero"/>
        <c:auto val="1"/>
        <c:lblAlgn val="ctr"/>
        <c:lblOffset val="100"/>
        <c:noMultiLvlLbl val="0"/>
      </c:catAx>
      <c:valAx>
        <c:axId val="357526799"/>
        <c:scaling>
          <c:orientation val="minMax"/>
        </c:scaling>
        <c:delete val="1"/>
        <c:axPos val="l"/>
        <c:numFmt formatCode="General" sourceLinked="1"/>
        <c:majorTickMark val="none"/>
        <c:minorTickMark val="none"/>
        <c:tickLblPos val="nextTo"/>
        <c:crossAx val="367735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Report'!$F$21</c:f>
              <c:strCache>
                <c:ptCount val="1"/>
                <c:pt idx="0">
                  <c:v>Total</c:v>
                </c:pt>
              </c:strCache>
            </c:strRef>
          </c:tx>
          <c:spPr>
            <a:solidFill>
              <a:schemeClr val="accent2">
                <a:lumMod val="60000"/>
                <a:lumOff val="40000"/>
              </a:schemeClr>
            </a:solidFill>
            <a:ln w="25400">
              <a:noFill/>
            </a:ln>
            <a:effectLst/>
          </c:spPr>
          <c:cat>
            <c:strRef>
              <c:f>'Pivot Report'!$E$22:$E$601</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Report'!$F$22:$F$601</c:f>
              <c:numCache>
                <c:formatCode>0.00</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0-6283-405F-BA9D-2E887AD9EB46}"/>
            </c:ext>
          </c:extLst>
        </c:ser>
        <c:dLbls>
          <c:showLegendKey val="0"/>
          <c:showVal val="0"/>
          <c:showCatName val="0"/>
          <c:showSerName val="0"/>
          <c:showPercent val="0"/>
          <c:showBubbleSize val="0"/>
        </c:dLbls>
        <c:axId val="1595899215"/>
        <c:axId val="1595890575"/>
      </c:areaChart>
      <c:catAx>
        <c:axId val="1595899215"/>
        <c:scaling>
          <c:orientation val="minMax"/>
        </c:scaling>
        <c:delete val="1"/>
        <c:axPos val="b"/>
        <c:numFmt formatCode="General" sourceLinked="1"/>
        <c:majorTickMark val="none"/>
        <c:minorTickMark val="none"/>
        <c:tickLblPos val="nextTo"/>
        <c:crossAx val="1595890575"/>
        <c:crosses val="autoZero"/>
        <c:auto val="1"/>
        <c:lblAlgn val="ctr"/>
        <c:lblOffset val="100"/>
        <c:noMultiLvlLbl val="0"/>
      </c:catAx>
      <c:valAx>
        <c:axId val="1595890575"/>
        <c:scaling>
          <c:orientation val="minMax"/>
        </c:scaling>
        <c:delete val="1"/>
        <c:axPos val="l"/>
        <c:numFmt formatCode="0.00" sourceLinked="1"/>
        <c:majorTickMark val="none"/>
        <c:minorTickMark val="none"/>
        <c:tickLblPos val="nextTo"/>
        <c:crossAx val="15958992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Report'!$J$21</c:f>
              <c:strCache>
                <c:ptCount val="1"/>
                <c:pt idx="0">
                  <c:v>Total</c:v>
                </c:pt>
              </c:strCache>
            </c:strRef>
          </c:tx>
          <c:spPr>
            <a:solidFill>
              <a:schemeClr val="accent2">
                <a:lumMod val="60000"/>
                <a:lumOff val="40000"/>
              </a:schemeClr>
            </a:solidFill>
            <a:ln w="25400">
              <a:noFill/>
            </a:ln>
            <a:effectLst/>
          </c:spPr>
          <c:cat>
            <c:strRef>
              <c:f>'Pivot Report'!$I$22:$I$592</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'Pivot Report'!$J$22:$J$592</c:f>
              <c:numCache>
                <c:formatCode>0.00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0-D190-4384-88E3-7BC7225DE9F4}"/>
            </c:ext>
          </c:extLst>
        </c:ser>
        <c:dLbls>
          <c:showLegendKey val="0"/>
          <c:showVal val="0"/>
          <c:showCatName val="0"/>
          <c:showSerName val="0"/>
          <c:showPercent val="0"/>
          <c:showBubbleSize val="0"/>
        </c:dLbls>
        <c:axId val="922516384"/>
        <c:axId val="922526464"/>
      </c:areaChart>
      <c:catAx>
        <c:axId val="922516384"/>
        <c:scaling>
          <c:orientation val="minMax"/>
        </c:scaling>
        <c:delete val="1"/>
        <c:axPos val="b"/>
        <c:numFmt formatCode="General" sourceLinked="1"/>
        <c:majorTickMark val="out"/>
        <c:minorTickMark val="none"/>
        <c:tickLblPos val="nextTo"/>
        <c:crossAx val="922526464"/>
        <c:crosses val="autoZero"/>
        <c:auto val="1"/>
        <c:lblAlgn val="ctr"/>
        <c:lblOffset val="100"/>
        <c:noMultiLvlLbl val="0"/>
      </c:catAx>
      <c:valAx>
        <c:axId val="922526464"/>
        <c:scaling>
          <c:orientation val="minMax"/>
        </c:scaling>
        <c:delete val="1"/>
        <c:axPos val="l"/>
        <c:numFmt formatCode="0.00" sourceLinked="1"/>
        <c:majorTickMark val="none"/>
        <c:minorTickMark val="none"/>
        <c:tickLblPos val="nextTo"/>
        <c:crossAx val="922516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97127974466789E-2"/>
          <c:y val="7.9694493981143935E-2"/>
          <c:w val="0.95560574405106646"/>
          <c:h val="0.8300601199260943"/>
        </c:manualLayout>
      </c:layout>
      <c:barChart>
        <c:barDir val="col"/>
        <c:grouping val="clustered"/>
        <c:varyColors val="0"/>
        <c:ser>
          <c:idx val="0"/>
          <c:order val="0"/>
          <c:tx>
            <c:strRef>
              <c:f>'Pivot Report'!$N$21</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Report'!$M$22:$M$30</c:f>
              <c:strCache>
                <c:ptCount val="8"/>
                <c:pt idx="0">
                  <c:v>0-09</c:v>
                </c:pt>
                <c:pt idx="1">
                  <c:v>10-19</c:v>
                </c:pt>
                <c:pt idx="2">
                  <c:v>20-29</c:v>
                </c:pt>
                <c:pt idx="3">
                  <c:v>30-39</c:v>
                </c:pt>
                <c:pt idx="4">
                  <c:v>40-49</c:v>
                </c:pt>
                <c:pt idx="5">
                  <c:v>50-59</c:v>
                </c:pt>
                <c:pt idx="6">
                  <c:v>60-69</c:v>
                </c:pt>
                <c:pt idx="7">
                  <c:v>70-79</c:v>
                </c:pt>
              </c:strCache>
            </c:strRef>
          </c:cat>
          <c:val>
            <c:numRef>
              <c:f>'Pivot Report'!$N$22:$N$30</c:f>
              <c:numCache>
                <c:formatCode>General</c:formatCode>
                <c:ptCount val="8"/>
                <c:pt idx="0">
                  <c:v>1176</c:v>
                </c:pt>
                <c:pt idx="1">
                  <c:v>1160</c:v>
                </c:pt>
                <c:pt idx="2">
                  <c:v>1207</c:v>
                </c:pt>
                <c:pt idx="3">
                  <c:v>1191</c:v>
                </c:pt>
                <c:pt idx="4">
                  <c:v>1137</c:v>
                </c:pt>
                <c:pt idx="5">
                  <c:v>1147</c:v>
                </c:pt>
                <c:pt idx="6">
                  <c:v>1734</c:v>
                </c:pt>
                <c:pt idx="7">
                  <c:v>464</c:v>
                </c:pt>
              </c:numCache>
            </c:numRef>
          </c:val>
          <c:extLst>
            <c:ext xmlns:c16="http://schemas.microsoft.com/office/drawing/2014/chart" uri="{C3380CC4-5D6E-409C-BE32-E72D297353CC}">
              <c16:uniqueId val="{00000000-E613-445E-B906-E2EB4EA894AE}"/>
            </c:ext>
          </c:extLst>
        </c:ser>
        <c:dLbls>
          <c:dLblPos val="outEnd"/>
          <c:showLegendKey val="0"/>
          <c:showVal val="1"/>
          <c:showCatName val="0"/>
          <c:showSerName val="0"/>
          <c:showPercent val="0"/>
          <c:showBubbleSize val="0"/>
        </c:dLbls>
        <c:gapWidth val="100"/>
        <c:axId val="826270880"/>
        <c:axId val="826243040"/>
      </c:barChart>
      <c:catAx>
        <c:axId val="82627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826243040"/>
        <c:crosses val="autoZero"/>
        <c:auto val="1"/>
        <c:lblAlgn val="ctr"/>
        <c:lblOffset val="100"/>
        <c:noMultiLvlLbl val="0"/>
      </c:catAx>
      <c:valAx>
        <c:axId val="826243040"/>
        <c:scaling>
          <c:orientation val="minMax"/>
        </c:scaling>
        <c:delete val="1"/>
        <c:axPos val="l"/>
        <c:numFmt formatCode="General" sourceLinked="1"/>
        <c:majorTickMark val="none"/>
        <c:minorTickMark val="none"/>
        <c:tickLblPos val="nextTo"/>
        <c:crossAx val="82627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Report'!$Q$21</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Report'!$P$22:$P$30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Report'!$Q$22:$Q$30</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AF5B-49A2-9536-2A5CFDB9F9B5}"/>
            </c:ext>
          </c:extLst>
        </c:ser>
        <c:dLbls>
          <c:dLblPos val="outEnd"/>
          <c:showLegendKey val="0"/>
          <c:showVal val="1"/>
          <c:showCatName val="0"/>
          <c:showSerName val="0"/>
          <c:showPercent val="0"/>
          <c:showBubbleSize val="0"/>
        </c:dLbls>
        <c:gapWidth val="52"/>
        <c:axId val="826246400"/>
        <c:axId val="826249280"/>
      </c:barChart>
      <c:catAx>
        <c:axId val="82624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0000"/>
                </a:solidFill>
                <a:latin typeface="+mn-lt"/>
                <a:ea typeface="+mn-ea"/>
                <a:cs typeface="+mn-cs"/>
              </a:defRPr>
            </a:pPr>
            <a:endParaRPr lang="en-US"/>
          </a:p>
        </c:txPr>
        <c:crossAx val="826249280"/>
        <c:crosses val="autoZero"/>
        <c:auto val="1"/>
        <c:lblAlgn val="ctr"/>
        <c:lblOffset val="100"/>
        <c:noMultiLvlLbl val="0"/>
      </c:catAx>
      <c:valAx>
        <c:axId val="826249280"/>
        <c:scaling>
          <c:orientation val="minMax"/>
        </c:scaling>
        <c:delete val="1"/>
        <c:axPos val="b"/>
        <c:numFmt formatCode="General" sourceLinked="1"/>
        <c:majorTickMark val="none"/>
        <c:minorTickMark val="none"/>
        <c:tickLblPos val="nextTo"/>
        <c:crossAx val="82624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Report!PivotTable11</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noFill/>
          </a:ln>
          <a:effectLst/>
        </c:spPr>
      </c:pivotFmt>
      <c:pivotFmt>
        <c:idx val="6"/>
        <c:spPr>
          <a:solidFill>
            <a:schemeClr val="accent2">
              <a:lumMod val="60000"/>
              <a:lumOff val="40000"/>
            </a:schemeClr>
          </a:solidFill>
          <a:ln w="19050">
            <a:noFill/>
          </a:ln>
          <a:effectLst/>
        </c:spPr>
      </c:pivotFmt>
    </c:pivotFmts>
    <c:plotArea>
      <c:layout>
        <c:manualLayout>
          <c:layoutTarget val="inner"/>
          <c:xMode val="edge"/>
          <c:yMode val="edge"/>
          <c:x val="0.13672220074552599"/>
          <c:y val="0.1548423660200868"/>
          <c:w val="0.74134346826391184"/>
          <c:h val="0.73687804512954813"/>
        </c:manualLayout>
      </c:layout>
      <c:doughnutChart>
        <c:varyColors val="1"/>
        <c:ser>
          <c:idx val="0"/>
          <c:order val="0"/>
          <c:tx>
            <c:strRef>
              <c:f>'Pivot Report'!$N$34</c:f>
              <c:strCache>
                <c:ptCount val="1"/>
                <c:pt idx="0">
                  <c:v>Total</c:v>
                </c:pt>
              </c:strCache>
            </c:strRef>
          </c:tx>
          <c:spPr>
            <a:ln>
              <a:noFill/>
            </a:ln>
          </c:spPr>
          <c:dPt>
            <c:idx val="0"/>
            <c:bubble3D val="0"/>
            <c:spPr>
              <a:solidFill>
                <a:schemeClr val="tx2">
                  <a:lumMod val="50000"/>
                  <a:lumOff val="50000"/>
                </a:schemeClr>
              </a:solidFill>
              <a:ln w="19050">
                <a:noFill/>
              </a:ln>
              <a:effectLst/>
            </c:spPr>
          </c:dPt>
          <c:dPt>
            <c:idx val="1"/>
            <c:bubble3D val="0"/>
            <c:spPr>
              <a:solidFill>
                <a:schemeClr val="accent2">
                  <a:lumMod val="60000"/>
                  <a:lumOff val="40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Report'!$M$35:$M$37</c:f>
              <c:strCache>
                <c:ptCount val="2"/>
                <c:pt idx="0">
                  <c:v>Female</c:v>
                </c:pt>
                <c:pt idx="1">
                  <c:v>Male</c:v>
                </c:pt>
              </c:strCache>
            </c:strRef>
          </c:cat>
          <c:val>
            <c:numRef>
              <c:f>'Pivot Report'!$N$35:$N$37</c:f>
              <c:numCache>
                <c:formatCode>General</c:formatCode>
                <c:ptCount val="2"/>
                <c:pt idx="0">
                  <c:v>4487</c:v>
                </c:pt>
                <c:pt idx="1">
                  <c:v>4729</c:v>
                </c:pt>
              </c:numCache>
            </c:numRef>
          </c:val>
          <c:extLst>
            <c:ext xmlns:c16="http://schemas.microsoft.com/office/drawing/2014/chart" uri="{C3380CC4-5D6E-409C-BE32-E72D297353CC}">
              <c16:uniqueId val="{00000004-1924-4ABE-AC91-95365316B4A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Report!PivotTable12</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w="19050">
            <a:noFill/>
          </a:ln>
          <a:effectLst/>
        </c:spPr>
      </c:pivotFmt>
      <c:pivotFmt>
        <c:idx val="6"/>
        <c:spPr>
          <a:solidFill>
            <a:schemeClr val="accent2">
              <a:lumMod val="60000"/>
              <a:lumOff val="40000"/>
            </a:schemeClr>
          </a:solidFill>
          <a:ln w="19050">
            <a:noFill/>
          </a:ln>
          <a:effectLst/>
        </c:spPr>
      </c:pivotFmt>
    </c:pivotFmts>
    <c:plotArea>
      <c:layout>
        <c:manualLayout>
          <c:layoutTarget val="inner"/>
          <c:xMode val="edge"/>
          <c:yMode val="edge"/>
          <c:x val="0.17187463601532568"/>
          <c:y val="0.12954209050385443"/>
          <c:w val="0.66014344827586202"/>
          <c:h val="0.76576667227259454"/>
        </c:manualLayout>
      </c:layout>
      <c:pieChart>
        <c:varyColors val="1"/>
        <c:ser>
          <c:idx val="0"/>
          <c:order val="0"/>
          <c:tx>
            <c:strRef>
              <c:f>'Pivot Report'!$Q$34</c:f>
              <c:strCache>
                <c:ptCount val="1"/>
                <c:pt idx="0">
                  <c:v>Total</c:v>
                </c:pt>
              </c:strCache>
            </c:strRef>
          </c:tx>
          <c:spPr>
            <a:ln>
              <a:noFill/>
            </a:ln>
          </c:spPr>
          <c:dPt>
            <c:idx val="0"/>
            <c:bubble3D val="0"/>
            <c:spPr>
              <a:solidFill>
                <a:schemeClr val="tx2">
                  <a:lumMod val="50000"/>
                  <a:lumOff val="50000"/>
                </a:schemeClr>
              </a:solidFill>
              <a:ln w="19050">
                <a:noFill/>
              </a:ln>
              <a:effectLst/>
            </c:spPr>
          </c:dPt>
          <c:dPt>
            <c:idx val="1"/>
            <c:bubble3D val="0"/>
            <c:spPr>
              <a:solidFill>
                <a:schemeClr val="accent2">
                  <a:lumMod val="60000"/>
                  <a:lumOff val="40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Report'!$P$35:$P$37</c:f>
              <c:strCache>
                <c:ptCount val="2"/>
                <c:pt idx="0">
                  <c:v>Delay</c:v>
                </c:pt>
                <c:pt idx="1">
                  <c:v>Ontime</c:v>
                </c:pt>
              </c:strCache>
            </c:strRef>
          </c:cat>
          <c:val>
            <c:numRef>
              <c:f>'Pivot Report'!$Q$35:$Q$37</c:f>
              <c:numCache>
                <c:formatCode>General</c:formatCode>
                <c:ptCount val="2"/>
                <c:pt idx="0">
                  <c:v>5467</c:v>
                </c:pt>
                <c:pt idx="1">
                  <c:v>3749</c:v>
                </c:pt>
              </c:numCache>
            </c:numRef>
          </c:val>
          <c:extLst>
            <c:ext xmlns:c16="http://schemas.microsoft.com/office/drawing/2014/chart" uri="{C3380CC4-5D6E-409C-BE32-E72D297353CC}">
              <c16:uniqueId val="{00000005-EA0D-474A-9A93-08825DDEAE6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Report'!$B$37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Report'!$A$38:$A$617</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Report'!$B$38:$B$617</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F36B-464E-A1DD-D89D0B477E0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67735135"/>
        <c:axId val="357526799"/>
      </c:areaChart>
      <c:catAx>
        <c:axId val="367735135"/>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7526799"/>
        <c:crosses val="autoZero"/>
        <c:auto val="1"/>
        <c:lblAlgn val="ctr"/>
        <c:lblOffset val="100"/>
        <c:noMultiLvlLbl val="0"/>
      </c:catAx>
      <c:valAx>
        <c:axId val="3575267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67735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Report'!$E$22:$E$601</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Report'!$F$22:$F$601</c:f>
              <c:numCache>
                <c:formatCode>0.00</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0-B69C-4DF4-AA04-E10B5400F60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95899215"/>
        <c:axId val="1595890575"/>
      </c:areaChart>
      <c:catAx>
        <c:axId val="1595899215"/>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5890575"/>
        <c:crosses val="autoZero"/>
        <c:auto val="1"/>
        <c:lblAlgn val="ctr"/>
        <c:lblOffset val="100"/>
        <c:noMultiLvlLbl val="0"/>
      </c:catAx>
      <c:valAx>
        <c:axId val="159589057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58992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hospital.xlsx]Pivot Report!PivotTable8</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Report'!$J$21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Report'!$I$22:$I$592</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'Pivot Report'!$J$22:$J$592</c:f>
              <c:numCache>
                <c:formatCode>0.00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0-3A42-494E-A1F5-79C9E2594C9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22516384"/>
        <c:axId val="922526464"/>
      </c:areaChart>
      <c:catAx>
        <c:axId val="922516384"/>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2526464"/>
        <c:crosses val="autoZero"/>
        <c:auto val="1"/>
        <c:lblAlgn val="ctr"/>
        <c:lblOffset val="100"/>
        <c:noMultiLvlLbl val="0"/>
      </c:catAx>
      <c:valAx>
        <c:axId val="92252646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2516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Patient Satisfaction Score'!A1"/><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erage wait time daily trend'!A1"/><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image" Target="../media/image9.emf"/><Relationship Id="rId4" Type="http://schemas.openxmlformats.org/officeDocument/2006/relationships/image" Target="../media/image4.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14</xdr:col>
      <xdr:colOff>1190626</xdr:colOff>
      <xdr:row>47</xdr:row>
      <xdr:rowOff>1</xdr:rowOff>
    </xdr:from>
    <xdr:to>
      <xdr:col>16</xdr:col>
      <xdr:colOff>304801</xdr:colOff>
      <xdr:row>50</xdr:row>
      <xdr:rowOff>123825</xdr:rowOff>
    </xdr:to>
    <xdr:graphicFrame macro="">
      <xdr:nvGraphicFramePr>
        <xdr:cNvPr id="3" name="Chart 2">
          <a:extLst>
            <a:ext uri="{FF2B5EF4-FFF2-40B4-BE49-F238E27FC236}">
              <a16:creationId xmlns:a16="http://schemas.microsoft.com/office/drawing/2014/main" id="{76939F88-DCFB-3DA6-1EC9-D5F8220E5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0</xdr:row>
      <xdr:rowOff>85725</xdr:rowOff>
    </xdr:from>
    <xdr:to>
      <xdr:col>9</xdr:col>
      <xdr:colOff>7500</xdr:colOff>
      <xdr:row>6</xdr:row>
      <xdr:rowOff>105000</xdr:rowOff>
    </xdr:to>
    <xdr:sp macro="" textlink="">
      <xdr:nvSpPr>
        <xdr:cNvPr id="2" name="Rectangle: Rounded Corners 1">
          <a:extLst>
            <a:ext uri="{FF2B5EF4-FFF2-40B4-BE49-F238E27FC236}">
              <a16:creationId xmlns:a16="http://schemas.microsoft.com/office/drawing/2014/main" id="{BD22CAA3-DFEF-65FA-83A0-EDC85E8FD4F2}"/>
            </a:ext>
          </a:extLst>
        </xdr:cNvPr>
        <xdr:cNvSpPr/>
      </xdr:nvSpPr>
      <xdr:spPr>
        <a:xfrm>
          <a:off x="66674" y="85725"/>
          <a:ext cx="5408326" cy="1144275"/>
        </a:xfrm>
        <a:prstGeom prst="roundRect">
          <a:avLst>
            <a:gd name="adj" fmla="val 9457"/>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105000</xdr:colOff>
      <xdr:row>0</xdr:row>
      <xdr:rowOff>83700</xdr:rowOff>
    </xdr:from>
    <xdr:to>
      <xdr:col>12</xdr:col>
      <xdr:colOff>600000</xdr:colOff>
      <xdr:row>6</xdr:row>
      <xdr:rowOff>103500</xdr:rowOff>
    </xdr:to>
    <xdr:sp macro="" textlink="">
      <xdr:nvSpPr>
        <xdr:cNvPr id="3" name="Rectangle: Rounded Corners 2">
          <a:extLst>
            <a:ext uri="{FF2B5EF4-FFF2-40B4-BE49-F238E27FC236}">
              <a16:creationId xmlns:a16="http://schemas.microsoft.com/office/drawing/2014/main" id="{746D5EC5-3E2A-45DD-2229-FED3738263C5}"/>
            </a:ext>
          </a:extLst>
        </xdr:cNvPr>
        <xdr:cNvSpPr/>
      </xdr:nvSpPr>
      <xdr:spPr>
        <a:xfrm>
          <a:off x="5572500" y="83700"/>
          <a:ext cx="2317500" cy="1144800"/>
        </a:xfrm>
        <a:prstGeom prst="roundRect">
          <a:avLst>
            <a:gd name="adj" fmla="val 7683"/>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45000</xdr:colOff>
      <xdr:row>0</xdr:row>
      <xdr:rowOff>100724</xdr:rowOff>
    </xdr:from>
    <xdr:to>
      <xdr:col>22</xdr:col>
      <xdr:colOff>495000</xdr:colOff>
      <xdr:row>15</xdr:row>
      <xdr:rowOff>168224</xdr:rowOff>
    </xdr:to>
    <xdr:sp macro="" textlink="">
      <xdr:nvSpPr>
        <xdr:cNvPr id="5" name="Rectangle: Rounded Corners 4">
          <a:extLst>
            <a:ext uri="{FF2B5EF4-FFF2-40B4-BE49-F238E27FC236}">
              <a16:creationId xmlns:a16="http://schemas.microsoft.com/office/drawing/2014/main" id="{AF147E02-05A2-52D7-C385-7FE374F0FE5F}"/>
            </a:ext>
          </a:extLst>
        </xdr:cNvPr>
        <xdr:cNvSpPr/>
      </xdr:nvSpPr>
      <xdr:spPr>
        <a:xfrm>
          <a:off x="10980000" y="100724"/>
          <a:ext cx="2880000" cy="2880000"/>
        </a:xfrm>
        <a:prstGeom prst="roundRect">
          <a:avLst>
            <a:gd name="adj" fmla="val 3348"/>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7</xdr:row>
      <xdr:rowOff>22500</xdr:rowOff>
    </xdr:from>
    <xdr:to>
      <xdr:col>2</xdr:col>
      <xdr:colOff>180975</xdr:colOff>
      <xdr:row>36</xdr:row>
      <xdr:rowOff>82500</xdr:rowOff>
    </xdr:to>
    <xdr:sp macro="" textlink="">
      <xdr:nvSpPr>
        <xdr:cNvPr id="6" name="Rectangle: Rounded Corners 5">
          <a:extLst>
            <a:ext uri="{FF2B5EF4-FFF2-40B4-BE49-F238E27FC236}">
              <a16:creationId xmlns:a16="http://schemas.microsoft.com/office/drawing/2014/main" id="{188C97BC-0C36-B813-2FAE-9D7823AF15F7}"/>
            </a:ext>
          </a:extLst>
        </xdr:cNvPr>
        <xdr:cNvSpPr/>
      </xdr:nvSpPr>
      <xdr:spPr>
        <a:xfrm>
          <a:off x="76200" y="1335000"/>
          <a:ext cx="1319775" cy="5497500"/>
        </a:xfrm>
        <a:prstGeom prst="roundRect">
          <a:avLst>
            <a:gd name="adj" fmla="val 8753"/>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82500</xdr:colOff>
      <xdr:row>0</xdr:row>
      <xdr:rowOff>93224</xdr:rowOff>
    </xdr:from>
    <xdr:to>
      <xdr:col>17</xdr:col>
      <xdr:colOff>532500</xdr:colOff>
      <xdr:row>15</xdr:row>
      <xdr:rowOff>160724</xdr:rowOff>
    </xdr:to>
    <xdr:sp macro="" textlink="">
      <xdr:nvSpPr>
        <xdr:cNvPr id="7" name="Rectangle: Rounded Corners 6">
          <a:extLst>
            <a:ext uri="{FF2B5EF4-FFF2-40B4-BE49-F238E27FC236}">
              <a16:creationId xmlns:a16="http://schemas.microsoft.com/office/drawing/2014/main" id="{FBF5A4E1-975A-6ED2-EB88-1471041087DB}"/>
            </a:ext>
          </a:extLst>
        </xdr:cNvPr>
        <xdr:cNvSpPr/>
      </xdr:nvSpPr>
      <xdr:spPr>
        <a:xfrm>
          <a:off x="7980000" y="93224"/>
          <a:ext cx="2880000" cy="2880000"/>
        </a:xfrm>
        <a:prstGeom prst="roundRect">
          <a:avLst>
            <a:gd name="adj" fmla="val 3348"/>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82500</xdr:colOff>
      <xdr:row>16</xdr:row>
      <xdr:rowOff>82500</xdr:rowOff>
    </xdr:from>
    <xdr:to>
      <xdr:col>22</xdr:col>
      <xdr:colOff>495000</xdr:colOff>
      <xdr:row>36</xdr:row>
      <xdr:rowOff>90000</xdr:rowOff>
    </xdr:to>
    <xdr:sp macro="" textlink="">
      <xdr:nvSpPr>
        <xdr:cNvPr id="8" name="Rectangle: Rounded Corners 7">
          <a:extLst>
            <a:ext uri="{FF2B5EF4-FFF2-40B4-BE49-F238E27FC236}">
              <a16:creationId xmlns:a16="http://schemas.microsoft.com/office/drawing/2014/main" id="{5ABCE6DA-9DAD-39A4-8EA8-CB41B46E0952}"/>
            </a:ext>
          </a:extLst>
        </xdr:cNvPr>
        <xdr:cNvSpPr/>
      </xdr:nvSpPr>
      <xdr:spPr>
        <a:xfrm>
          <a:off x="7980000" y="3082500"/>
          <a:ext cx="5880000" cy="3757500"/>
        </a:xfrm>
        <a:prstGeom prst="roundRect">
          <a:avLst>
            <a:gd name="adj" fmla="val 3348"/>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269174</xdr:colOff>
      <xdr:row>7</xdr:row>
      <xdr:rowOff>18225</xdr:rowOff>
    </xdr:from>
    <xdr:to>
      <xdr:col>5</xdr:col>
      <xdr:colOff>495000</xdr:colOff>
      <xdr:row>13</xdr:row>
      <xdr:rowOff>37500</xdr:rowOff>
    </xdr:to>
    <xdr:sp macro="" textlink="">
      <xdr:nvSpPr>
        <xdr:cNvPr id="9" name="Rectangle: Rounded Corners 8">
          <a:extLst>
            <a:ext uri="{FF2B5EF4-FFF2-40B4-BE49-F238E27FC236}">
              <a16:creationId xmlns:a16="http://schemas.microsoft.com/office/drawing/2014/main" id="{3C88A8D8-D100-78CA-93D0-585B61F9E9BF}"/>
            </a:ext>
          </a:extLst>
        </xdr:cNvPr>
        <xdr:cNvSpPr/>
      </xdr:nvSpPr>
      <xdr:spPr>
        <a:xfrm>
          <a:off x="1484174" y="1330725"/>
          <a:ext cx="2048326" cy="1144275"/>
        </a:xfrm>
        <a:prstGeom prst="roundRect">
          <a:avLst>
            <a:gd name="adj" fmla="val 9457"/>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29174</xdr:colOff>
      <xdr:row>7</xdr:row>
      <xdr:rowOff>18225</xdr:rowOff>
    </xdr:from>
    <xdr:to>
      <xdr:col>9</xdr:col>
      <xdr:colOff>255000</xdr:colOff>
      <xdr:row>13</xdr:row>
      <xdr:rowOff>37500</xdr:rowOff>
    </xdr:to>
    <xdr:sp macro="" textlink="">
      <xdr:nvSpPr>
        <xdr:cNvPr id="12" name="Rectangle: Rounded Corners 11">
          <a:extLst>
            <a:ext uri="{FF2B5EF4-FFF2-40B4-BE49-F238E27FC236}">
              <a16:creationId xmlns:a16="http://schemas.microsoft.com/office/drawing/2014/main" id="{BF96B5D1-0718-E8CB-8CAE-7BFB2366A142}"/>
            </a:ext>
          </a:extLst>
        </xdr:cNvPr>
        <xdr:cNvSpPr/>
      </xdr:nvSpPr>
      <xdr:spPr>
        <a:xfrm>
          <a:off x="3674174" y="1330725"/>
          <a:ext cx="2048326" cy="1144275"/>
        </a:xfrm>
        <a:prstGeom prst="roundRect">
          <a:avLst>
            <a:gd name="adj" fmla="val 9457"/>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374174</xdr:colOff>
      <xdr:row>7</xdr:row>
      <xdr:rowOff>18225</xdr:rowOff>
    </xdr:from>
    <xdr:to>
      <xdr:col>12</xdr:col>
      <xdr:colOff>600000</xdr:colOff>
      <xdr:row>13</xdr:row>
      <xdr:rowOff>37500</xdr:rowOff>
    </xdr:to>
    <xdr:sp macro="" textlink="">
      <xdr:nvSpPr>
        <xdr:cNvPr id="13" name="Rectangle: Rounded Corners 12">
          <a:extLst>
            <a:ext uri="{FF2B5EF4-FFF2-40B4-BE49-F238E27FC236}">
              <a16:creationId xmlns:a16="http://schemas.microsoft.com/office/drawing/2014/main" id="{0AE50FE0-EECD-6C4E-7E91-26E8EB522BCF}"/>
            </a:ext>
          </a:extLst>
        </xdr:cNvPr>
        <xdr:cNvSpPr/>
      </xdr:nvSpPr>
      <xdr:spPr>
        <a:xfrm>
          <a:off x="5841674" y="1330725"/>
          <a:ext cx="2048326" cy="1144275"/>
        </a:xfrm>
        <a:prstGeom prst="roundRect">
          <a:avLst>
            <a:gd name="adj" fmla="val 9457"/>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284174</xdr:colOff>
      <xdr:row>13</xdr:row>
      <xdr:rowOff>114497</xdr:rowOff>
    </xdr:from>
    <xdr:to>
      <xdr:col>12</xdr:col>
      <xdr:colOff>600000</xdr:colOff>
      <xdr:row>19</xdr:row>
      <xdr:rowOff>133772</xdr:rowOff>
    </xdr:to>
    <xdr:sp macro="" textlink="">
      <xdr:nvSpPr>
        <xdr:cNvPr id="16" name="Rectangle: Rounded Corners 15">
          <a:extLst>
            <a:ext uri="{FF2B5EF4-FFF2-40B4-BE49-F238E27FC236}">
              <a16:creationId xmlns:a16="http://schemas.microsoft.com/office/drawing/2014/main" id="{6AB6F139-9829-6EE6-EE2F-153159332865}"/>
            </a:ext>
          </a:extLst>
        </xdr:cNvPr>
        <xdr:cNvSpPr/>
      </xdr:nvSpPr>
      <xdr:spPr>
        <a:xfrm>
          <a:off x="1499174" y="2551997"/>
          <a:ext cx="6390826" cy="1144275"/>
        </a:xfrm>
        <a:prstGeom prst="roundRect">
          <a:avLst>
            <a:gd name="adj" fmla="val 9457"/>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276674</xdr:colOff>
      <xdr:row>22</xdr:row>
      <xdr:rowOff>93689</xdr:rowOff>
    </xdr:from>
    <xdr:to>
      <xdr:col>12</xdr:col>
      <xdr:colOff>592500</xdr:colOff>
      <xdr:row>36</xdr:row>
      <xdr:rowOff>97500</xdr:rowOff>
    </xdr:to>
    <xdr:sp macro="" textlink="">
      <xdr:nvSpPr>
        <xdr:cNvPr id="18" name="Rectangle: Rounded Corners 17">
          <a:extLst>
            <a:ext uri="{FF2B5EF4-FFF2-40B4-BE49-F238E27FC236}">
              <a16:creationId xmlns:a16="http://schemas.microsoft.com/office/drawing/2014/main" id="{1BEA74AC-19EA-C6A6-D7D8-ADA2EADB7E83}"/>
            </a:ext>
          </a:extLst>
        </xdr:cNvPr>
        <xdr:cNvSpPr/>
      </xdr:nvSpPr>
      <xdr:spPr>
        <a:xfrm>
          <a:off x="1494625" y="4215984"/>
          <a:ext cx="6405580" cy="2627090"/>
        </a:xfrm>
        <a:prstGeom prst="roundRect">
          <a:avLst>
            <a:gd name="adj" fmla="val 4188"/>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37500</xdr:colOff>
      <xdr:row>0</xdr:row>
      <xdr:rowOff>45000</xdr:rowOff>
    </xdr:from>
    <xdr:to>
      <xdr:col>2</xdr:col>
      <xdr:colOff>37500</xdr:colOff>
      <xdr:row>6</xdr:row>
      <xdr:rowOff>135000</xdr:rowOff>
    </xdr:to>
    <xdr:pic>
      <xdr:nvPicPr>
        <xdr:cNvPr id="10" name="Graphic 9" descr="Hospital with solid fill">
          <a:extLst>
            <a:ext uri="{FF2B5EF4-FFF2-40B4-BE49-F238E27FC236}">
              <a16:creationId xmlns:a16="http://schemas.microsoft.com/office/drawing/2014/main" id="{1FFBC291-62D3-C33D-AAC6-9CF317BE7B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500" y="45000"/>
          <a:ext cx="1215000" cy="1215000"/>
        </a:xfrm>
        <a:prstGeom prst="rect">
          <a:avLst/>
        </a:prstGeom>
      </xdr:spPr>
    </xdr:pic>
    <xdr:clientData/>
  </xdr:twoCellAnchor>
  <xdr:twoCellAnchor>
    <xdr:from>
      <xdr:col>1</xdr:col>
      <xdr:colOff>247500</xdr:colOff>
      <xdr:row>0</xdr:row>
      <xdr:rowOff>120000</xdr:rowOff>
    </xdr:from>
    <xdr:to>
      <xdr:col>8</xdr:col>
      <xdr:colOff>577500</xdr:colOff>
      <xdr:row>2</xdr:row>
      <xdr:rowOff>120000</xdr:rowOff>
    </xdr:to>
    <xdr:sp macro="" textlink="">
      <xdr:nvSpPr>
        <xdr:cNvPr id="11" name="TextBox 10">
          <a:extLst>
            <a:ext uri="{FF2B5EF4-FFF2-40B4-BE49-F238E27FC236}">
              <a16:creationId xmlns:a16="http://schemas.microsoft.com/office/drawing/2014/main" id="{AF917941-DBE6-2613-C166-2B8C352BB254}"/>
            </a:ext>
          </a:extLst>
        </xdr:cNvPr>
        <xdr:cNvSpPr txBox="1"/>
      </xdr:nvSpPr>
      <xdr:spPr>
        <a:xfrm>
          <a:off x="855000" y="120000"/>
          <a:ext cx="4582500" cy="37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300" b="1"/>
            <a:t>Hospital Emergency Room Dashboard</a:t>
          </a:r>
        </a:p>
      </xdr:txBody>
    </xdr:sp>
    <xdr:clientData/>
  </xdr:twoCellAnchor>
  <xdr:twoCellAnchor>
    <xdr:from>
      <xdr:col>2</xdr:col>
      <xdr:colOff>247500</xdr:colOff>
      <xdr:row>2</xdr:row>
      <xdr:rowOff>90000</xdr:rowOff>
    </xdr:from>
    <xdr:to>
      <xdr:col>8</xdr:col>
      <xdr:colOff>210000</xdr:colOff>
      <xdr:row>5</xdr:row>
      <xdr:rowOff>150000</xdr:rowOff>
    </xdr:to>
    <xdr:sp macro="" textlink="">
      <xdr:nvSpPr>
        <xdr:cNvPr id="14" name="TextBox 13">
          <a:extLst>
            <a:ext uri="{FF2B5EF4-FFF2-40B4-BE49-F238E27FC236}">
              <a16:creationId xmlns:a16="http://schemas.microsoft.com/office/drawing/2014/main" id="{3291E25A-20E0-5C5C-CC41-DD0255608FA3}"/>
            </a:ext>
          </a:extLst>
        </xdr:cNvPr>
        <xdr:cNvSpPr txBox="1"/>
      </xdr:nvSpPr>
      <xdr:spPr>
        <a:xfrm>
          <a:off x="1462500" y="465000"/>
          <a:ext cx="3607500" cy="62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3600" b="1"/>
            <a:t>Monthly Report</a:t>
          </a:r>
        </a:p>
      </xdr:txBody>
    </xdr:sp>
    <xdr:clientData/>
  </xdr:twoCellAnchor>
  <xdr:twoCellAnchor>
    <xdr:from>
      <xdr:col>2</xdr:col>
      <xdr:colOff>262500</xdr:colOff>
      <xdr:row>8</xdr:row>
      <xdr:rowOff>157500</xdr:rowOff>
    </xdr:from>
    <xdr:to>
      <xdr:col>5</xdr:col>
      <xdr:colOff>495000</xdr:colOff>
      <xdr:row>10</xdr:row>
      <xdr:rowOff>37500</xdr:rowOff>
    </xdr:to>
    <xdr:sp macro="" textlink="">
      <xdr:nvSpPr>
        <xdr:cNvPr id="4" name="TextBox 3">
          <a:extLst>
            <a:ext uri="{FF2B5EF4-FFF2-40B4-BE49-F238E27FC236}">
              <a16:creationId xmlns:a16="http://schemas.microsoft.com/office/drawing/2014/main" id="{08808E63-4872-A89E-799D-22E601C7188A}"/>
            </a:ext>
          </a:extLst>
        </xdr:cNvPr>
        <xdr:cNvSpPr txBox="1"/>
      </xdr:nvSpPr>
      <xdr:spPr>
        <a:xfrm>
          <a:off x="1477500" y="1657500"/>
          <a:ext cx="2055000" cy="25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No. of Patients</a:t>
          </a:r>
        </a:p>
      </xdr:txBody>
    </xdr:sp>
    <xdr:clientData/>
  </xdr:twoCellAnchor>
  <xdr:twoCellAnchor>
    <xdr:from>
      <xdr:col>2</xdr:col>
      <xdr:colOff>262500</xdr:colOff>
      <xdr:row>6</xdr:row>
      <xdr:rowOff>165000</xdr:rowOff>
    </xdr:from>
    <xdr:to>
      <xdr:col>5</xdr:col>
      <xdr:colOff>495000</xdr:colOff>
      <xdr:row>9</xdr:row>
      <xdr:rowOff>112500</xdr:rowOff>
    </xdr:to>
    <xdr:sp macro="" textlink="'Pivot Report'!A5">
      <xdr:nvSpPr>
        <xdr:cNvPr id="15" name="TextBox 14">
          <a:extLst>
            <a:ext uri="{FF2B5EF4-FFF2-40B4-BE49-F238E27FC236}">
              <a16:creationId xmlns:a16="http://schemas.microsoft.com/office/drawing/2014/main" id="{91578D36-98AB-CB37-6966-EB7BCA91C3CA}"/>
            </a:ext>
          </a:extLst>
        </xdr:cNvPr>
        <xdr:cNvSpPr txBox="1"/>
      </xdr:nvSpPr>
      <xdr:spPr>
        <a:xfrm>
          <a:off x="1477500" y="1290000"/>
          <a:ext cx="2055000" cy="51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76A077B-B914-4DD3-A41A-F0225BE1A7D5}" type="TxLink">
            <a:rPr lang="en-US" sz="3200" b="1" i="0" u="none" strike="noStrike">
              <a:solidFill>
                <a:srgbClr val="000000"/>
              </a:solidFill>
              <a:latin typeface="Aptos Narrow"/>
            </a:rPr>
            <a:pPr algn="ctr"/>
            <a:t>9216</a:t>
          </a:fld>
          <a:endParaRPr lang="en-IN" sz="4400" b="1"/>
        </a:p>
      </xdr:txBody>
    </xdr:sp>
    <xdr:clientData/>
  </xdr:twoCellAnchor>
  <xdr:twoCellAnchor editAs="oneCell">
    <xdr:from>
      <xdr:col>5</xdr:col>
      <xdr:colOff>150000</xdr:colOff>
      <xdr:row>7</xdr:row>
      <xdr:rowOff>30000</xdr:rowOff>
    </xdr:from>
    <xdr:to>
      <xdr:col>5</xdr:col>
      <xdr:colOff>480000</xdr:colOff>
      <xdr:row>8</xdr:row>
      <xdr:rowOff>172500</xdr:rowOff>
    </xdr:to>
    <xdr:pic>
      <xdr:nvPicPr>
        <xdr:cNvPr id="19" name="Graphic 18" descr="Male profile with solid fill">
          <a:extLst>
            <a:ext uri="{FF2B5EF4-FFF2-40B4-BE49-F238E27FC236}">
              <a16:creationId xmlns:a16="http://schemas.microsoft.com/office/drawing/2014/main" id="{317B3440-50B3-20CB-8A76-2F4072A83E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87500" y="1342500"/>
          <a:ext cx="330000" cy="330000"/>
        </a:xfrm>
        <a:prstGeom prst="rect">
          <a:avLst/>
        </a:prstGeom>
      </xdr:spPr>
    </xdr:pic>
    <xdr:clientData/>
  </xdr:twoCellAnchor>
  <xdr:twoCellAnchor>
    <xdr:from>
      <xdr:col>6</xdr:col>
      <xdr:colOff>15000</xdr:colOff>
      <xdr:row>9</xdr:row>
      <xdr:rowOff>7500</xdr:rowOff>
    </xdr:from>
    <xdr:to>
      <xdr:col>9</xdr:col>
      <xdr:colOff>247500</xdr:colOff>
      <xdr:row>10</xdr:row>
      <xdr:rowOff>75000</xdr:rowOff>
    </xdr:to>
    <xdr:sp macro="" textlink="">
      <xdr:nvSpPr>
        <xdr:cNvPr id="20" name="TextBox 19">
          <a:extLst>
            <a:ext uri="{FF2B5EF4-FFF2-40B4-BE49-F238E27FC236}">
              <a16:creationId xmlns:a16="http://schemas.microsoft.com/office/drawing/2014/main" id="{BAC2F6DC-0EAF-0EA0-D5EE-11A6E4DA5221}"/>
            </a:ext>
          </a:extLst>
        </xdr:cNvPr>
        <xdr:cNvSpPr txBox="1"/>
      </xdr:nvSpPr>
      <xdr:spPr>
        <a:xfrm>
          <a:off x="3660000" y="1695000"/>
          <a:ext cx="2055000" cy="25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Avg. Wait</a:t>
          </a:r>
          <a:r>
            <a:rPr lang="en-IN" sz="1600" b="1" baseline="0"/>
            <a:t> Time (Min)</a:t>
          </a:r>
        </a:p>
      </xdr:txBody>
    </xdr:sp>
    <xdr:clientData/>
  </xdr:twoCellAnchor>
  <xdr:twoCellAnchor>
    <xdr:from>
      <xdr:col>6</xdr:col>
      <xdr:colOff>15000</xdr:colOff>
      <xdr:row>6</xdr:row>
      <xdr:rowOff>165000</xdr:rowOff>
    </xdr:from>
    <xdr:to>
      <xdr:col>9</xdr:col>
      <xdr:colOff>247500</xdr:colOff>
      <xdr:row>9</xdr:row>
      <xdr:rowOff>112500</xdr:rowOff>
    </xdr:to>
    <xdr:sp macro="" textlink="'Pivot Report'!A9">
      <xdr:nvSpPr>
        <xdr:cNvPr id="21" name="TextBox 20">
          <a:extLst>
            <a:ext uri="{FF2B5EF4-FFF2-40B4-BE49-F238E27FC236}">
              <a16:creationId xmlns:a16="http://schemas.microsoft.com/office/drawing/2014/main" id="{40FD0E78-83D1-2D1B-AF11-9E1A063EDFB7}"/>
            </a:ext>
          </a:extLst>
        </xdr:cNvPr>
        <xdr:cNvSpPr txBox="1"/>
      </xdr:nvSpPr>
      <xdr:spPr>
        <a:xfrm>
          <a:off x="3660000" y="1290000"/>
          <a:ext cx="2055000" cy="51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4775323-140A-4782-9F89-3E6996FE4F1F}" type="TxLink">
            <a:rPr lang="en-US" sz="3200" b="1" i="0" u="none" strike="noStrike">
              <a:solidFill>
                <a:srgbClr val="000000"/>
              </a:solidFill>
              <a:latin typeface="Aptos Narrow"/>
            </a:rPr>
            <a:pPr algn="ctr"/>
            <a:t>35.26</a:t>
          </a:fld>
          <a:endParaRPr lang="en-IN" sz="9600" b="1"/>
        </a:p>
      </xdr:txBody>
    </xdr:sp>
    <xdr:clientData/>
  </xdr:twoCellAnchor>
  <xdr:twoCellAnchor editAs="oneCell">
    <xdr:from>
      <xdr:col>8</xdr:col>
      <xdr:colOff>531900</xdr:colOff>
      <xdr:row>7</xdr:row>
      <xdr:rowOff>14400</xdr:rowOff>
    </xdr:from>
    <xdr:to>
      <xdr:col>9</xdr:col>
      <xdr:colOff>255600</xdr:colOff>
      <xdr:row>8</xdr:row>
      <xdr:rowOff>158100</xdr:rowOff>
    </xdr:to>
    <xdr:pic>
      <xdr:nvPicPr>
        <xdr:cNvPr id="23" name="Graphic 22" descr="Hourglass Full with solid fill">
          <a:extLst>
            <a:ext uri="{FF2B5EF4-FFF2-40B4-BE49-F238E27FC236}">
              <a16:creationId xmlns:a16="http://schemas.microsoft.com/office/drawing/2014/main" id="{52D66519-7C6E-71DD-75B2-DE45C48DAC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91900" y="1326900"/>
          <a:ext cx="331200" cy="331200"/>
        </a:xfrm>
        <a:prstGeom prst="rect">
          <a:avLst/>
        </a:prstGeom>
      </xdr:spPr>
    </xdr:pic>
    <xdr:clientData/>
  </xdr:twoCellAnchor>
  <xdr:twoCellAnchor>
    <xdr:from>
      <xdr:col>9</xdr:col>
      <xdr:colOff>375000</xdr:colOff>
      <xdr:row>9</xdr:row>
      <xdr:rowOff>10702</xdr:rowOff>
    </xdr:from>
    <xdr:to>
      <xdr:col>13</xdr:col>
      <xdr:colOff>0</xdr:colOff>
      <xdr:row>10</xdr:row>
      <xdr:rowOff>78080</xdr:rowOff>
    </xdr:to>
    <xdr:sp macro="" textlink="">
      <xdr:nvSpPr>
        <xdr:cNvPr id="24" name="TextBox 23">
          <a:extLst>
            <a:ext uri="{FF2B5EF4-FFF2-40B4-BE49-F238E27FC236}">
              <a16:creationId xmlns:a16="http://schemas.microsoft.com/office/drawing/2014/main" id="{D726B0C8-2684-AC5A-3A63-8D4E72292112}"/>
            </a:ext>
          </a:extLst>
        </xdr:cNvPr>
        <xdr:cNvSpPr txBox="1"/>
      </xdr:nvSpPr>
      <xdr:spPr>
        <a:xfrm>
          <a:off x="5855779" y="1697095"/>
          <a:ext cx="2060901" cy="254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Patient Satisfaction Score</a:t>
          </a:r>
          <a:endParaRPr lang="en-IN" sz="1400" b="1" baseline="0"/>
        </a:p>
      </xdr:txBody>
    </xdr:sp>
    <xdr:clientData/>
  </xdr:twoCellAnchor>
  <xdr:twoCellAnchor>
    <xdr:from>
      <xdr:col>9</xdr:col>
      <xdr:colOff>375000</xdr:colOff>
      <xdr:row>6</xdr:row>
      <xdr:rowOff>160270</xdr:rowOff>
    </xdr:from>
    <xdr:to>
      <xdr:col>13</xdr:col>
      <xdr:colOff>0</xdr:colOff>
      <xdr:row>9</xdr:row>
      <xdr:rowOff>107770</xdr:rowOff>
    </xdr:to>
    <xdr:sp macro="" textlink="'Pivot Report'!A13">
      <xdr:nvSpPr>
        <xdr:cNvPr id="25" name="TextBox 24">
          <a:extLst>
            <a:ext uri="{FF2B5EF4-FFF2-40B4-BE49-F238E27FC236}">
              <a16:creationId xmlns:a16="http://schemas.microsoft.com/office/drawing/2014/main" id="{8F212C82-5E0F-78F3-79CE-AFB57D25F756}"/>
            </a:ext>
          </a:extLst>
        </xdr:cNvPr>
        <xdr:cNvSpPr txBox="1"/>
      </xdr:nvSpPr>
      <xdr:spPr>
        <a:xfrm>
          <a:off x="5855779" y="1284532"/>
          <a:ext cx="2060901" cy="50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08777FD-17A5-4AB9-B204-AA81DAB1ECFB}" type="TxLink">
            <a:rPr lang="en-US" sz="3200" b="1" i="0" u="none" strike="noStrike">
              <a:solidFill>
                <a:srgbClr val="000000"/>
              </a:solidFill>
              <a:latin typeface="Aptos Narrow"/>
            </a:rPr>
            <a:pPr algn="ctr"/>
            <a:t>4.99</a:t>
          </a:fld>
          <a:endParaRPr lang="en-IN" sz="41300" b="1"/>
        </a:p>
      </xdr:txBody>
    </xdr:sp>
    <xdr:clientData/>
  </xdr:twoCellAnchor>
  <xdr:twoCellAnchor editAs="oneCell">
    <xdr:from>
      <xdr:col>12</xdr:col>
      <xdr:colOff>247500</xdr:colOff>
      <xdr:row>7</xdr:row>
      <xdr:rowOff>22500</xdr:rowOff>
    </xdr:from>
    <xdr:to>
      <xdr:col>12</xdr:col>
      <xdr:colOff>578700</xdr:colOff>
      <xdr:row>8</xdr:row>
      <xdr:rowOff>166200</xdr:rowOff>
    </xdr:to>
    <xdr:pic>
      <xdr:nvPicPr>
        <xdr:cNvPr id="27" name="Graphic 26" descr="Rating with solid fill">
          <a:extLst>
            <a:ext uri="{FF2B5EF4-FFF2-40B4-BE49-F238E27FC236}">
              <a16:creationId xmlns:a16="http://schemas.microsoft.com/office/drawing/2014/main" id="{244D2A2F-6323-7721-ADDF-F2BC52FE9F8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7500" y="1335000"/>
          <a:ext cx="331200" cy="331200"/>
        </a:xfrm>
        <a:prstGeom prst="rect">
          <a:avLst/>
        </a:prstGeom>
      </xdr:spPr>
    </xdr:pic>
    <xdr:clientData/>
  </xdr:twoCellAnchor>
  <xdr:twoCellAnchor editAs="oneCell">
    <xdr:from>
      <xdr:col>9</xdr:col>
      <xdr:colOff>277500</xdr:colOff>
      <xdr:row>2</xdr:row>
      <xdr:rowOff>127500</xdr:rowOff>
    </xdr:from>
    <xdr:to>
      <xdr:col>12</xdr:col>
      <xdr:colOff>495000</xdr:colOff>
      <xdr:row>5</xdr:row>
      <xdr:rowOff>45000</xdr:rowOff>
    </xdr:to>
    <mc:AlternateContent xmlns:mc="http://schemas.openxmlformats.org/markup-compatibility/2006" xmlns:a14="http://schemas.microsoft.com/office/drawing/2010/main">
      <mc:Choice Requires="a14">
        <xdr:graphicFrame macro="">
          <xdr:nvGraphicFramePr>
            <xdr:cNvPr id="28" name="date (Year)">
              <a:extLst>
                <a:ext uri="{FF2B5EF4-FFF2-40B4-BE49-F238E27FC236}">
                  <a16:creationId xmlns:a16="http://schemas.microsoft.com/office/drawing/2014/main" id="{0CDFDA63-26D1-4442-8AFF-D2272C09A89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745000" y="502500"/>
              <a:ext cx="2040000" cy="4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255000</xdr:colOff>
      <xdr:row>1</xdr:row>
      <xdr:rowOff>105000</xdr:rowOff>
    </xdr:from>
    <xdr:to>
      <xdr:col>12</xdr:col>
      <xdr:colOff>487500</xdr:colOff>
      <xdr:row>3</xdr:row>
      <xdr:rowOff>30000</xdr:rowOff>
    </xdr:to>
    <xdr:sp macro="" textlink="">
      <xdr:nvSpPr>
        <xdr:cNvPr id="29" name="TextBox 28">
          <a:extLst>
            <a:ext uri="{FF2B5EF4-FFF2-40B4-BE49-F238E27FC236}">
              <a16:creationId xmlns:a16="http://schemas.microsoft.com/office/drawing/2014/main" id="{FEE82F43-52E7-9311-6749-A8B1D4868306}"/>
            </a:ext>
          </a:extLst>
        </xdr:cNvPr>
        <xdr:cNvSpPr txBox="1"/>
      </xdr:nvSpPr>
      <xdr:spPr>
        <a:xfrm>
          <a:off x="5722500" y="292500"/>
          <a:ext cx="2055000" cy="30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Select</a:t>
          </a:r>
          <a:r>
            <a:rPr lang="en-IN" sz="2000" b="1" baseline="0"/>
            <a:t> Year</a:t>
          </a:r>
        </a:p>
      </xdr:txBody>
    </xdr:sp>
    <xdr:clientData/>
  </xdr:twoCellAnchor>
  <xdr:twoCellAnchor editAs="oneCell">
    <xdr:from>
      <xdr:col>0</xdr:col>
      <xdr:colOff>112500</xdr:colOff>
      <xdr:row>7</xdr:row>
      <xdr:rowOff>135000</xdr:rowOff>
    </xdr:from>
    <xdr:to>
      <xdr:col>2</xdr:col>
      <xdr:colOff>120000</xdr:colOff>
      <xdr:row>36</xdr:row>
      <xdr:rowOff>7500</xdr:rowOff>
    </xdr:to>
    <mc:AlternateContent xmlns:mc="http://schemas.openxmlformats.org/markup-compatibility/2006" xmlns:a14="http://schemas.microsoft.com/office/drawing/2010/main">
      <mc:Choice Requires="a14">
        <xdr:graphicFrame macro="">
          <xdr:nvGraphicFramePr>
            <xdr:cNvPr id="30" name="date (Month)">
              <a:extLst>
                <a:ext uri="{FF2B5EF4-FFF2-40B4-BE49-F238E27FC236}">
                  <a16:creationId xmlns:a16="http://schemas.microsoft.com/office/drawing/2014/main" id="{02AC76A6-2A67-4A6D-AAF1-5423BE379EC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2500" y="1447500"/>
              <a:ext cx="1222500" cy="53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131830</xdr:colOff>
      <xdr:row>8</xdr:row>
      <xdr:rowOff>108170</xdr:rowOff>
    </xdr:from>
    <xdr:to>
      <xdr:col>6</xdr:col>
      <xdr:colOff>17319</xdr:colOff>
      <xdr:row>13</xdr:row>
      <xdr:rowOff>80306</xdr:rowOff>
    </xdr:to>
    <xdr:graphicFrame macro="">
      <xdr:nvGraphicFramePr>
        <xdr:cNvPr id="31" name="Chart 30">
          <a:hlinkClick xmlns:r="http://schemas.openxmlformats.org/officeDocument/2006/relationships" r:id="rId9"/>
          <a:extLst>
            <a:ext uri="{FF2B5EF4-FFF2-40B4-BE49-F238E27FC236}">
              <a16:creationId xmlns:a16="http://schemas.microsoft.com/office/drawing/2014/main" id="{7C74292A-5C43-4002-8486-501BC1444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502225</xdr:colOff>
      <xdr:row>9</xdr:row>
      <xdr:rowOff>36340</xdr:rowOff>
    </xdr:from>
    <xdr:to>
      <xdr:col>9</xdr:col>
      <xdr:colOff>398317</xdr:colOff>
      <xdr:row>13</xdr:row>
      <xdr:rowOff>74477</xdr:rowOff>
    </xdr:to>
    <xdr:graphicFrame macro="">
      <xdr:nvGraphicFramePr>
        <xdr:cNvPr id="17" name="Chart 16">
          <a:hlinkClick xmlns:r="http://schemas.openxmlformats.org/officeDocument/2006/relationships" r:id="rId11"/>
          <a:extLst>
            <a:ext uri="{FF2B5EF4-FFF2-40B4-BE49-F238E27FC236}">
              <a16:creationId xmlns:a16="http://schemas.microsoft.com/office/drawing/2014/main" id="{C2EFEC1A-B9CA-4D8A-88B5-0B1926BA8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234221</xdr:colOff>
      <xdr:row>8</xdr:row>
      <xdr:rowOff>54652</xdr:rowOff>
    </xdr:from>
    <xdr:to>
      <xdr:col>13</xdr:col>
      <xdr:colOff>132725</xdr:colOff>
      <xdr:row>13</xdr:row>
      <xdr:rowOff>73075</xdr:rowOff>
    </xdr:to>
    <xdr:graphicFrame macro="">
      <xdr:nvGraphicFramePr>
        <xdr:cNvPr id="22" name="Chart 21">
          <a:hlinkClick xmlns:r="http://schemas.openxmlformats.org/officeDocument/2006/relationships" r:id="rId13"/>
          <a:extLst>
            <a:ext uri="{FF2B5EF4-FFF2-40B4-BE49-F238E27FC236}">
              <a16:creationId xmlns:a16="http://schemas.microsoft.com/office/drawing/2014/main" id="{CFD6B0FA-910B-4302-8496-7F666D20B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320101</xdr:colOff>
      <xdr:row>21</xdr:row>
      <xdr:rowOff>148340</xdr:rowOff>
    </xdr:from>
    <xdr:to>
      <xdr:col>12</xdr:col>
      <xdr:colOff>538708</xdr:colOff>
      <xdr:row>35</xdr:row>
      <xdr:rowOff>73077</xdr:rowOff>
    </xdr:to>
    <xdr:graphicFrame macro="">
      <xdr:nvGraphicFramePr>
        <xdr:cNvPr id="26" name="Chart 25">
          <a:extLst>
            <a:ext uri="{FF2B5EF4-FFF2-40B4-BE49-F238E27FC236}">
              <a16:creationId xmlns:a16="http://schemas.microsoft.com/office/drawing/2014/main" id="{BA4E2750-CC3A-4B40-8CC1-782E998BC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187376</xdr:colOff>
      <xdr:row>16</xdr:row>
      <xdr:rowOff>171762</xdr:rowOff>
    </xdr:from>
    <xdr:to>
      <xdr:col>22</xdr:col>
      <xdr:colOff>437213</xdr:colOff>
      <xdr:row>36</xdr:row>
      <xdr:rowOff>39036</xdr:rowOff>
    </xdr:to>
    <xdr:graphicFrame macro="">
      <xdr:nvGraphicFramePr>
        <xdr:cNvPr id="32" name="Chart 31">
          <a:extLst>
            <a:ext uri="{FF2B5EF4-FFF2-40B4-BE49-F238E27FC236}">
              <a16:creationId xmlns:a16="http://schemas.microsoft.com/office/drawing/2014/main" id="{F753B8B9-0058-419E-9176-6DDB31667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559796</xdr:colOff>
      <xdr:row>35</xdr:row>
      <xdr:rowOff>2884</xdr:rowOff>
    </xdr:from>
    <xdr:to>
      <xdr:col>11</xdr:col>
      <xdr:colOff>280820</xdr:colOff>
      <xdr:row>37</xdr:row>
      <xdr:rowOff>2884</xdr:rowOff>
    </xdr:to>
    <xdr:sp macro="" textlink="">
      <xdr:nvSpPr>
        <xdr:cNvPr id="33" name="TextBox 32">
          <a:extLst>
            <a:ext uri="{FF2B5EF4-FFF2-40B4-BE49-F238E27FC236}">
              <a16:creationId xmlns:a16="http://schemas.microsoft.com/office/drawing/2014/main" id="{4478EFB7-6947-22AD-4098-EDFAFA29CF04}"/>
            </a:ext>
          </a:extLst>
        </xdr:cNvPr>
        <xdr:cNvSpPr txBox="1"/>
      </xdr:nvSpPr>
      <xdr:spPr>
        <a:xfrm>
          <a:off x="2386722" y="6561081"/>
          <a:ext cx="4592828"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0">
              <a:solidFill>
                <a:srgbClr val="FF0000"/>
              </a:solidFill>
            </a:rPr>
            <a:t>No.</a:t>
          </a:r>
          <a:r>
            <a:rPr lang="en-IN" sz="1800" b="0" baseline="0">
              <a:solidFill>
                <a:srgbClr val="FF0000"/>
              </a:solidFill>
            </a:rPr>
            <a:t> of Patient by Age Group</a:t>
          </a:r>
          <a:endParaRPr lang="en-IN" sz="1800" b="0">
            <a:solidFill>
              <a:srgbClr val="FF0000"/>
            </a:solidFill>
          </a:endParaRPr>
        </a:p>
      </xdr:txBody>
    </xdr:sp>
    <xdr:clientData/>
  </xdr:twoCellAnchor>
  <xdr:twoCellAnchor>
    <xdr:from>
      <xdr:col>2</xdr:col>
      <xdr:colOff>284174</xdr:colOff>
      <xdr:row>20</xdr:row>
      <xdr:rowOff>31229</xdr:rowOff>
    </xdr:from>
    <xdr:to>
      <xdr:col>12</xdr:col>
      <xdr:colOff>600000</xdr:colOff>
      <xdr:row>22</xdr:row>
      <xdr:rowOff>15614</xdr:rowOff>
    </xdr:to>
    <xdr:sp macro="" textlink="">
      <xdr:nvSpPr>
        <xdr:cNvPr id="34" name="Rectangle: Rounded Corners 33">
          <a:extLst>
            <a:ext uri="{FF2B5EF4-FFF2-40B4-BE49-F238E27FC236}">
              <a16:creationId xmlns:a16="http://schemas.microsoft.com/office/drawing/2014/main" id="{B3F4BCDB-BBEA-9333-7B3C-1EE5E1D37E0F}"/>
            </a:ext>
          </a:extLst>
        </xdr:cNvPr>
        <xdr:cNvSpPr/>
      </xdr:nvSpPr>
      <xdr:spPr>
        <a:xfrm>
          <a:off x="1502125" y="3778770"/>
          <a:ext cx="6405580" cy="359139"/>
        </a:xfrm>
        <a:prstGeom prst="roundRect">
          <a:avLst>
            <a:gd name="adj" fmla="val 24675"/>
          </a:avLst>
        </a:prstGeom>
        <a:solidFill>
          <a:srgbClr val="F0F3B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555000</xdr:colOff>
      <xdr:row>25</xdr:row>
      <xdr:rowOff>105612</xdr:rowOff>
    </xdr:from>
    <xdr:to>
      <xdr:col>22</xdr:col>
      <xdr:colOff>380040</xdr:colOff>
      <xdr:row>34</xdr:row>
      <xdr:rowOff>97500</xdr:rowOff>
    </xdr:to>
    <xdr:sp macro="" textlink="">
      <xdr:nvSpPr>
        <xdr:cNvPr id="35" name="TextBox 34">
          <a:extLst>
            <a:ext uri="{FF2B5EF4-FFF2-40B4-BE49-F238E27FC236}">
              <a16:creationId xmlns:a16="http://schemas.microsoft.com/office/drawing/2014/main" id="{1D3F7211-0911-A620-6561-87FD1EAD39F8}"/>
            </a:ext>
          </a:extLst>
        </xdr:cNvPr>
        <xdr:cNvSpPr txBox="1"/>
      </xdr:nvSpPr>
      <xdr:spPr>
        <a:xfrm>
          <a:off x="10275000" y="4793112"/>
          <a:ext cx="3470040" cy="16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3200" b="0">
              <a:solidFill>
                <a:srgbClr val="FF0000"/>
              </a:solidFill>
            </a:rPr>
            <a:t>Number</a:t>
          </a:r>
          <a:r>
            <a:rPr lang="en-IN" sz="3200" b="0" baseline="0">
              <a:solidFill>
                <a:srgbClr val="FF0000"/>
              </a:solidFill>
            </a:rPr>
            <a:t> of Patient</a:t>
          </a:r>
        </a:p>
        <a:p>
          <a:pPr algn="ctr"/>
          <a:r>
            <a:rPr lang="en-IN" sz="3200" b="0" baseline="0">
              <a:solidFill>
                <a:srgbClr val="FF0000"/>
              </a:solidFill>
            </a:rPr>
            <a:t>by Department Referral</a:t>
          </a:r>
          <a:endParaRPr lang="en-IN" sz="3200" b="0">
            <a:solidFill>
              <a:srgbClr val="FF0000"/>
            </a:solidFill>
          </a:endParaRPr>
        </a:p>
      </xdr:txBody>
    </xdr:sp>
    <xdr:clientData/>
  </xdr:twoCellAnchor>
  <xdr:twoCellAnchor>
    <xdr:from>
      <xdr:col>18</xdr:col>
      <xdr:colOff>54652</xdr:colOff>
      <xdr:row>0</xdr:row>
      <xdr:rowOff>85881</xdr:rowOff>
    </xdr:from>
    <xdr:to>
      <xdr:col>22</xdr:col>
      <xdr:colOff>484056</xdr:colOff>
      <xdr:row>15</xdr:row>
      <xdr:rowOff>179570</xdr:rowOff>
    </xdr:to>
    <xdr:graphicFrame macro="">
      <xdr:nvGraphicFramePr>
        <xdr:cNvPr id="37" name="Chart 36">
          <a:extLst>
            <a:ext uri="{FF2B5EF4-FFF2-40B4-BE49-F238E27FC236}">
              <a16:creationId xmlns:a16="http://schemas.microsoft.com/office/drawing/2014/main" id="{13E1026E-B1F6-48EA-A1F8-42857E44E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495000</xdr:colOff>
      <xdr:row>0</xdr:row>
      <xdr:rowOff>165000</xdr:rowOff>
    </xdr:from>
    <xdr:to>
      <xdr:col>18</xdr:col>
      <xdr:colOff>112500</xdr:colOff>
      <xdr:row>15</xdr:row>
      <xdr:rowOff>164999</xdr:rowOff>
    </xdr:to>
    <xdr:graphicFrame macro="">
      <xdr:nvGraphicFramePr>
        <xdr:cNvPr id="36" name="Chart 35">
          <a:extLst>
            <a:ext uri="{FF2B5EF4-FFF2-40B4-BE49-F238E27FC236}">
              <a16:creationId xmlns:a16="http://schemas.microsoft.com/office/drawing/2014/main" id="{EE7D2C72-640B-4D42-BB4B-3C826C90F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322500</xdr:colOff>
          <xdr:row>14</xdr:row>
          <xdr:rowOff>105000</xdr:rowOff>
        </xdr:from>
        <xdr:to>
          <xdr:col>12</xdr:col>
          <xdr:colOff>547500</xdr:colOff>
          <xdr:row>18</xdr:row>
          <xdr:rowOff>150000</xdr:rowOff>
        </xdr:to>
        <xdr:pic>
          <xdr:nvPicPr>
            <xdr:cNvPr id="41" name="Picture 40">
              <a:extLst>
                <a:ext uri="{FF2B5EF4-FFF2-40B4-BE49-F238E27FC236}">
                  <a16:creationId xmlns:a16="http://schemas.microsoft.com/office/drawing/2014/main" id="{2E07BC58-E1D8-4EBB-3D49-CCC6B18A4CDC}"/>
                </a:ext>
              </a:extLst>
            </xdr:cNvPr>
            <xdr:cNvPicPr>
              <a:picLocks noChangeAspect="1" noChangeArrowheads="1"/>
              <a:extLst>
                <a:ext uri="{84589F7E-364E-4C9E-8A38-B11213B215E9}">
                  <a14:cameraTool cellRange="'Pivot Report'!$M$48:$P$50" spid="_x0000_s1034"/>
                </a:ext>
              </a:extLst>
            </xdr:cNvPicPr>
          </xdr:nvPicPr>
          <xdr:blipFill>
            <a:blip xmlns:r="http://schemas.openxmlformats.org/officeDocument/2006/relationships" r:embed="rId19"/>
            <a:srcRect/>
            <a:stretch>
              <a:fillRect/>
            </a:stretch>
          </xdr:blipFill>
          <xdr:spPr bwMode="auto">
            <a:xfrm>
              <a:off x="1537500" y="2730000"/>
              <a:ext cx="6300000" cy="795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285000</xdr:colOff>
      <xdr:row>20</xdr:row>
      <xdr:rowOff>30000</xdr:rowOff>
    </xdr:from>
    <xdr:to>
      <xdr:col>13</xdr:col>
      <xdr:colOff>0</xdr:colOff>
      <xdr:row>22</xdr:row>
      <xdr:rowOff>30000</xdr:rowOff>
    </xdr:to>
    <xdr:sp macro="" textlink="">
      <xdr:nvSpPr>
        <xdr:cNvPr id="42" name="TextBox 41">
          <a:extLst>
            <a:ext uri="{FF2B5EF4-FFF2-40B4-BE49-F238E27FC236}">
              <a16:creationId xmlns:a16="http://schemas.microsoft.com/office/drawing/2014/main" id="{D7D74466-0B80-B221-B0ED-B5042C6C8844}"/>
            </a:ext>
          </a:extLst>
        </xdr:cNvPr>
        <xdr:cNvSpPr txBox="1"/>
      </xdr:nvSpPr>
      <xdr:spPr>
        <a:xfrm>
          <a:off x="1500000" y="3780000"/>
          <a:ext cx="6397500" cy="37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300" b="1"/>
            <a:t>Dashboard Developed By:- Bharat Sinha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4</xdr:row>
      <xdr:rowOff>171449</xdr:rowOff>
    </xdr:from>
    <xdr:to>
      <xdr:col>25</xdr:col>
      <xdr:colOff>495300</xdr:colOff>
      <xdr:row>42</xdr:row>
      <xdr:rowOff>76200</xdr:rowOff>
    </xdr:to>
    <xdr:graphicFrame macro="">
      <xdr:nvGraphicFramePr>
        <xdr:cNvPr id="2" name="Chart 1">
          <a:extLst>
            <a:ext uri="{FF2B5EF4-FFF2-40B4-BE49-F238E27FC236}">
              <a16:creationId xmlns:a16="http://schemas.microsoft.com/office/drawing/2014/main" id="{07FEB919-D063-49C7-9339-4AE51E627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309561</xdr:colOff>
      <xdr:row>42</xdr:row>
      <xdr:rowOff>52387</xdr:rowOff>
    </xdr:from>
    <xdr:to>
      <xdr:col>25</xdr:col>
      <xdr:colOff>504825</xdr:colOff>
      <xdr:row>45</xdr:row>
      <xdr:rowOff>38100</xdr:rowOff>
    </xdr:to>
    <xdr:sp macro="" textlink="">
      <xdr:nvSpPr>
        <xdr:cNvPr id="3" name="TextBox 2">
          <a:extLst>
            <a:ext uri="{FF2B5EF4-FFF2-40B4-BE49-F238E27FC236}">
              <a16:creationId xmlns:a16="http://schemas.microsoft.com/office/drawing/2014/main" id="{1C1F5ABF-1ECF-7A45-C0B4-D0A2047EBAEA}"/>
            </a:ext>
          </a:extLst>
        </xdr:cNvPr>
        <xdr:cNvSpPr txBox="1"/>
      </xdr:nvSpPr>
      <xdr:spPr>
        <a:xfrm>
          <a:off x="309561" y="8053387"/>
          <a:ext cx="15435264"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Showing a daily trend</a:t>
          </a:r>
          <a:r>
            <a:rPr lang="en-IN" sz="2400" b="1" baseline="0">
              <a:solidFill>
                <a:schemeClr val="bg1"/>
              </a:solidFill>
            </a:rPr>
            <a:t> with an area charts to spot patterns like busy days or seasonal trends</a:t>
          </a:r>
          <a:endParaRPr lang="en-IN" sz="2400" b="1">
            <a:solidFill>
              <a:schemeClr val="bg1"/>
            </a:solidFill>
          </a:endParaRPr>
        </a:p>
      </xdr:txBody>
    </xdr:sp>
    <xdr:clientData/>
  </xdr:twoCellAnchor>
  <xdr:twoCellAnchor editAs="oneCell">
    <xdr:from>
      <xdr:col>1</xdr:col>
      <xdr:colOff>47625</xdr:colOff>
      <xdr:row>4</xdr:row>
      <xdr:rowOff>123825</xdr:rowOff>
    </xdr:from>
    <xdr:to>
      <xdr:col>2</xdr:col>
      <xdr:colOff>28575</xdr:colOff>
      <xdr:row>7</xdr:row>
      <xdr:rowOff>142875</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139DBDA0-6EB5-6390-A6FB-902A71BDDD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7225" y="885825"/>
          <a:ext cx="590550" cy="590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57149</xdr:colOff>
      <xdr:row>4</xdr:row>
      <xdr:rowOff>114300</xdr:rowOff>
    </xdr:from>
    <xdr:to>
      <xdr:col>25</xdr:col>
      <xdr:colOff>409574</xdr:colOff>
      <xdr:row>43</xdr:row>
      <xdr:rowOff>114300</xdr:rowOff>
    </xdr:to>
    <xdr:graphicFrame macro="">
      <xdr:nvGraphicFramePr>
        <xdr:cNvPr id="2" name="Chart 1">
          <a:extLst>
            <a:ext uri="{FF2B5EF4-FFF2-40B4-BE49-F238E27FC236}">
              <a16:creationId xmlns:a16="http://schemas.microsoft.com/office/drawing/2014/main" id="{D5D494F7-4D4C-4DA1-88E4-4AD4B8D5D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0</xdr:row>
      <xdr:rowOff>161925</xdr:rowOff>
    </xdr:from>
    <xdr:to>
      <xdr:col>1</xdr:col>
      <xdr:colOff>9525</xdr:colOff>
      <xdr:row>3</xdr:row>
      <xdr:rowOff>180975</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737B5F9F-B1AA-4E05-BC49-F9412916B3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75" y="161925"/>
          <a:ext cx="590550" cy="590550"/>
        </a:xfrm>
        <a:prstGeom prst="rect">
          <a:avLst/>
        </a:prstGeom>
      </xdr:spPr>
    </xdr:pic>
    <xdr:clientData/>
  </xdr:twoCellAnchor>
  <xdr:twoCellAnchor>
    <xdr:from>
      <xdr:col>0</xdr:col>
      <xdr:colOff>247650</xdr:colOff>
      <xdr:row>43</xdr:row>
      <xdr:rowOff>28575</xdr:rowOff>
    </xdr:from>
    <xdr:to>
      <xdr:col>25</xdr:col>
      <xdr:colOff>442914</xdr:colOff>
      <xdr:row>46</xdr:row>
      <xdr:rowOff>14288</xdr:rowOff>
    </xdr:to>
    <xdr:sp macro="" textlink="">
      <xdr:nvSpPr>
        <xdr:cNvPr id="4" name="TextBox 3">
          <a:extLst>
            <a:ext uri="{FF2B5EF4-FFF2-40B4-BE49-F238E27FC236}">
              <a16:creationId xmlns:a16="http://schemas.microsoft.com/office/drawing/2014/main" id="{947D382B-8BB0-464D-BE7E-C065286728FF}"/>
            </a:ext>
          </a:extLst>
        </xdr:cNvPr>
        <xdr:cNvSpPr txBox="1"/>
      </xdr:nvSpPr>
      <xdr:spPr>
        <a:xfrm>
          <a:off x="247650" y="8220075"/>
          <a:ext cx="15435264"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Showing a daily trend</a:t>
          </a:r>
          <a:r>
            <a:rPr lang="en-IN" sz="2400" b="1" baseline="0">
              <a:solidFill>
                <a:schemeClr val="bg1"/>
              </a:solidFill>
            </a:rPr>
            <a:t> with an area chart to spot patterns like longer wait times that might need improvements</a:t>
          </a:r>
          <a:endParaRPr lang="en-IN" sz="24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161925</xdr:rowOff>
    </xdr:from>
    <xdr:to>
      <xdr:col>1</xdr:col>
      <xdr:colOff>9525</xdr:colOff>
      <xdr:row>3</xdr:row>
      <xdr:rowOff>180975</xdr:rowOff>
    </xdr:to>
    <xdr:pic>
      <xdr:nvPicPr>
        <xdr:cNvPr id="3" name="Graphic 2" descr="House with solid fill">
          <a:hlinkClick xmlns:r="http://schemas.openxmlformats.org/officeDocument/2006/relationships" r:id="rId1"/>
          <a:extLst>
            <a:ext uri="{FF2B5EF4-FFF2-40B4-BE49-F238E27FC236}">
              <a16:creationId xmlns:a16="http://schemas.microsoft.com/office/drawing/2014/main" id="{4A935627-47B4-4DB2-BA77-E0B5C89E326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 y="161925"/>
          <a:ext cx="590550" cy="590550"/>
        </a:xfrm>
        <a:prstGeom prst="rect">
          <a:avLst/>
        </a:prstGeom>
      </xdr:spPr>
    </xdr:pic>
    <xdr:clientData/>
  </xdr:twoCellAnchor>
  <xdr:twoCellAnchor>
    <xdr:from>
      <xdr:col>0</xdr:col>
      <xdr:colOff>247650</xdr:colOff>
      <xdr:row>43</xdr:row>
      <xdr:rowOff>28575</xdr:rowOff>
    </xdr:from>
    <xdr:to>
      <xdr:col>25</xdr:col>
      <xdr:colOff>442914</xdr:colOff>
      <xdr:row>46</xdr:row>
      <xdr:rowOff>14288</xdr:rowOff>
    </xdr:to>
    <xdr:sp macro="" textlink="">
      <xdr:nvSpPr>
        <xdr:cNvPr id="4" name="TextBox 3">
          <a:extLst>
            <a:ext uri="{FF2B5EF4-FFF2-40B4-BE49-F238E27FC236}">
              <a16:creationId xmlns:a16="http://schemas.microsoft.com/office/drawing/2014/main" id="{7A74E16E-F7B3-4E49-A87C-496EE7FFA512}"/>
            </a:ext>
          </a:extLst>
        </xdr:cNvPr>
        <xdr:cNvSpPr txBox="1"/>
      </xdr:nvSpPr>
      <xdr:spPr>
        <a:xfrm>
          <a:off x="247650" y="8220075"/>
          <a:ext cx="15435264"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Showing a daily trend</a:t>
          </a:r>
          <a:r>
            <a:rPr lang="en-IN" sz="2400" b="1" baseline="0">
              <a:solidFill>
                <a:schemeClr val="bg1"/>
              </a:solidFill>
            </a:rPr>
            <a:t> with an area chart to spot patterns like Satisfaction score</a:t>
          </a:r>
          <a:endParaRPr lang="en-IN" sz="2400" b="1">
            <a:solidFill>
              <a:schemeClr val="bg1"/>
            </a:solidFill>
          </a:endParaRPr>
        </a:p>
      </xdr:txBody>
    </xdr:sp>
    <xdr:clientData/>
  </xdr:twoCellAnchor>
  <xdr:twoCellAnchor>
    <xdr:from>
      <xdr:col>0</xdr:col>
      <xdr:colOff>95250</xdr:colOff>
      <xdr:row>4</xdr:row>
      <xdr:rowOff>95250</xdr:rowOff>
    </xdr:from>
    <xdr:to>
      <xdr:col>25</xdr:col>
      <xdr:colOff>590550</xdr:colOff>
      <xdr:row>42</xdr:row>
      <xdr:rowOff>171450</xdr:rowOff>
    </xdr:to>
    <xdr:graphicFrame macro="">
      <xdr:nvGraphicFramePr>
        <xdr:cNvPr id="5" name="Chart 4">
          <a:extLst>
            <a:ext uri="{FF2B5EF4-FFF2-40B4-BE49-F238E27FC236}">
              <a16:creationId xmlns:a16="http://schemas.microsoft.com/office/drawing/2014/main" id="{4FA1B090-8313-4FBD-B114-54AF0A17A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4351849" createdVersion="5" refreshedVersion="8" minRefreshableVersion="3" recordCount="0" supportSubquery="1" supportAdvancedDrill="1" xr:uid="{70028161-D440-4529-B9A6-1BF615DE41F3}">
  <cacheSource type="external" connectionId="3"/>
  <cacheFields count="2">
    <cacheField name="[Measures].[Count of Patient Id]" caption="Count of Patient Id" numFmtId="0" hierarchy="21" level="32767"/>
    <cacheField name="[Calender_Table].[date (Month)].[date (Month)]" caption="date (Month)" numFmtId="0" hierarchy="3" level="1">
      <sharedItems count="12">
        <s v="Jan"/>
        <s v="Feb"/>
        <s v="Mar"/>
        <s v="Apr"/>
        <s v="May"/>
        <s v="Jun"/>
        <s v="Jul"/>
        <s v="Aug"/>
        <s v="Sep"/>
        <s v="Oct"/>
        <s v="Nov"/>
        <s v="Dec"/>
      </sharedItems>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4467595" createdVersion="5" refreshedVersion="8" minRefreshableVersion="3" recordCount="0" supportSubquery="1" supportAdvancedDrill="1" xr:uid="{0A62F7AC-59E3-42C9-AA24-28FAD320BF76}">
  <cacheSource type="external" connectionId="3"/>
  <cacheFields count="2">
    <cacheField name="[Measures].[Distinct Count of Patient Id]" caption="Distinct Count of Patient Id" numFmtId="0" hierarchy="22"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4467595" createdVersion="5" refreshedVersion="8" minRefreshableVersion="3" recordCount="0" supportSubquery="1" supportAdvancedDrill="1" xr:uid="{30DFE57C-FC3C-4D54-B67F-16D9DD1BC798}">
  <cacheSource type="external" connectionId="3"/>
  <cacheFields count="2">
    <cacheField name="[Measures].[Average of Patient Waittime]" caption="Average of Patient Waittime" numFmtId="0" hierarchy="24"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4583333" createdVersion="5" refreshedVersion="8" minRefreshableVersion="3" recordCount="0" supportSubquery="1" supportAdvancedDrill="1" xr:uid="{41D0E2AA-1E8C-45FA-977D-9F86D028EB50}">
  <cacheSource type="external" connectionId="3"/>
  <cacheFields count="2">
    <cacheField name="[Measures].[Average of Patient Satisfaction Score]" caption="Average of Patient Satisfaction Score" numFmtId="0" hierarchy="26"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4930556" createdVersion="5" refreshedVersion="8" minRefreshableVersion="3" recordCount="0" supportSubquery="1" supportAdvancedDrill="1" xr:uid="{FF370A72-D087-4A43-A8A7-9C00A57325F9}">
  <cacheSource type="external" connectionId="3"/>
  <cacheFields count="3">
    <cacheField name="[Measures].[Count of Patient Id]" caption="Count of Patient Id" numFmtId="0" hierarchy="21" level="32767"/>
    <cacheField name="[Calender_Table].[date (Year)].[date (Year)]" caption="date (Year)" numFmtId="0" hierarchy="1" level="1">
      <sharedItems count="2">
        <s v="2023"/>
        <s v="2024"/>
      </sharedItems>
    </cacheField>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5393518" createdVersion="5" refreshedVersion="8" minRefreshableVersion="3" recordCount="0" supportSubquery="1" supportAdvancedDrill="1" xr:uid="{1B25D466-E119-45D2-87AB-C7E4EAC43BA4}">
  <cacheSource type="external" connectionId="3"/>
  <cacheFields count="3">
    <cacheField name="[Measures].[Count of Patient Id]" caption="Count of Patient Id" numFmtId="0" hierarchy="21" level="32767"/>
    <cacheField name="[Calender_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6087965" createdVersion="5" refreshedVersion="8" minRefreshableVersion="3" recordCount="0" supportSubquery="1" supportAdvancedDrill="1" xr:uid="{3ECBEE40-D8E2-44CF-AA0D-FD90144D7867}">
  <cacheSource type="external" connectionId="3"/>
  <cacheFields count="3">
    <cacheField name="[Calender_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Measures].[Average of Patient Waittime]" caption="Average of Patient Waittime" numFmtId="0" hierarchy="24"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6782404" createdVersion="5" refreshedVersion="8" minRefreshableVersion="3" recordCount="0" supportSubquery="1" supportAdvancedDrill="1" xr:uid="{9F7C6302-F61B-4FC7-9705-F62C86662776}">
  <cacheSource type="external" connectionId="3"/>
  <cacheFields count="3">
    <cacheField name="[Calender_Table].[date].[date]" caption="date" numFmtId="0" level="1">
      <sharedItems containsSemiMixedTypes="0" containsNonDate="0" containsDate="1" containsString="0" minDate="2023-04-01T00:00:00" maxDate="2024-10-31T00:00:00" count="57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6" level="32767"/>
  </cacheFields>
  <cacheHierarchies count="2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7245373" createdVersion="5" refreshedVersion="8" minRefreshableVersion="3" recordCount="0" supportSubquery="1" supportAdvancedDrill="1" xr:uid="{B05D69FE-920B-405A-8F12-A3AA055FEA4E}">
  <cacheSource type="external" connectionId="3"/>
  <cacheFields count="3">
    <cacheField name="[Calender_Table].[date (Month)].[date (Month)]" caption="date (Month)" numFmtId="0" hierarchy="3"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Patient Id]" caption="Count of Patient Id" numFmtId="0" hierarchy="21" level="32767"/>
  </cacheFields>
  <cacheHierarchies count="2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7592589" createdVersion="5" refreshedVersion="8" minRefreshableVersion="3" recordCount="0" supportSubquery="1" supportAdvancedDrill="1" xr:uid="{29D39F87-8B0C-4AEF-B6E5-0CA960F10696}">
  <cacheSource type="external" connectionId="3"/>
  <cacheFields count="3">
    <cacheField name="[Calender_Table].[date (Month)].[date (Month)]" caption="date (Month)" numFmtId="0" hierarchy="3" level="1">
      <sharedItems containsSemiMixedTypes="0" containsNonDate="0" containsString="0"/>
    </cacheField>
    <cacheField name="[Measures].[Count of Patient Id]" caption="Count of Patient Id" numFmtId="0" hierarchy="21"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7939813" createdVersion="5" refreshedVersion="8" minRefreshableVersion="3" recordCount="0" supportSubquery="1" supportAdvancedDrill="1" xr:uid="{976F175F-ED08-49B7-B18E-22051B4A6013}">
  <cacheSource type="external" connectionId="3"/>
  <cacheFields count="4">
    <cacheField name="[Measures].[Count of Patient Id]" caption="Count of Patient Id" numFmtId="0" hierarchy="21"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Gender].[Patient Gender]" caption="Patient Gender" numFmtId="0" hierarchy="8" level="1">
      <sharedItems count="2">
        <s v="Female"/>
        <s v="Male"/>
      </sharedItems>
    </cacheField>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8402774" createdVersion="5" refreshedVersion="8" minRefreshableVersion="3" recordCount="0" supportSubquery="1" supportAdvancedDrill="1" xr:uid="{F2B42A11-63A6-4A6E-BF36-AC814AC75A5C}">
  <cacheSource type="external" connectionId="3"/>
  <cacheFields count="4">
    <cacheField name="[Measures].[Count of Patient Id]" caption="Count of Patient Id" numFmtId="0" hierarchy="21"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Calende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3"/>
      </fieldsUsage>
    </cacheHierarchy>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9.634218749998" createdVersion="5" refreshedVersion="8" minRefreshableVersion="3" recordCount="0" supportSubquery="1" supportAdvancedDrill="1" xr:uid="{439C086E-B439-4CAF-80AC-647205EE0F34}">
  <cacheSource type="external" connectionId="3"/>
  <cacheFields count="5">
    <cacheField name="[Measures].[Count of Patient Id]" caption="Count of Patient Id" numFmtId="0" hierarchy="21"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Admission Flag].[Patient Admission Flag]" caption="Patient Admission Flag" numFmtId="0" hierarchy="12" level="1">
      <sharedItems count="2">
        <s v="Admitted"/>
        <s v="Not Admitted"/>
      </sharedItems>
    </cacheField>
    <cacheField name="[Calender_Table].[date (Month)].[date (Month)]" caption="date (Month)"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38.644376736112" createdVersion="3" refreshedVersion="8" minRefreshableVersion="3" recordCount="0" supportSubquery="1" supportAdvancedDrill="1" xr:uid="{22E97896-CF36-4048-8E15-328A8C0FDE48}">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97976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86FE4-71A2-4E47-B56C-BC013DB3FDD1}" name="PivotTable13" cacheId="1165"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46">
  <location ref="M41:O44" firstHeaderRow="0" firstDataRow="1" firstDataCol="1"/>
  <pivotFields count="5">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0" subtotal="count" baseField="0" baseItem="0"/>
    <dataField name="Count of Patient Id2" fld="4" subtotal="count" showDataAs="percentOfTotal" baseField="0" baseItem="0" numFmtId="10">
      <extLst>
        <ext xmlns:x14="http://schemas.microsoft.com/office/spreadsheetml/2009/9/main" uri="{E15A36E0-9728-4e99-A89B-3F7291B0FE68}">
          <x14:dataField sourceField="0" uniqueName="[__Xl2].[Measures].[Count of Patient Id]"/>
        </ext>
      </extLst>
    </dataField>
  </dataFields>
  <formats count="2">
    <format dxfId="27">
      <pivotArea outline="0" collapsedLevelsAreSubtotals="1" fieldPosition="0"/>
    </format>
    <format dxfId="26">
      <pivotArea outline="0" fieldPosition="0">
        <references count="1">
          <reference field="4294967294" count="1">
            <x v="1"/>
          </reference>
        </references>
      </pivotArea>
    </format>
  </formats>
  <chartFormats count="10">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pivotArea type="data" outline="0" fieldPosition="0">
        <references count="2">
          <reference field="4294967294" count="1" selected="0">
            <x v="0"/>
          </reference>
          <reference field="2" count="1" selected="0">
            <x v="1"/>
          </reference>
        </references>
      </pivotArea>
    </chartFormat>
    <chartFormat chart="33" format="3">
      <pivotArea type="data" outline="0" fieldPosition="0">
        <references count="2">
          <reference field="4294967294" count="1" selected="0">
            <x v="0"/>
          </reference>
          <reference field="2" count="1" selected="0">
            <x v="0"/>
          </reference>
        </references>
      </pivotArea>
    </chartFormat>
  </chartFormats>
  <pivotHierarchies count="2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117059-8859-440C-81D3-918E653B226E}" name="PivotTable12" cacheId="1162"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37">
  <location ref="P34:Q37" firstHeaderRow="1" firstDataRow="1" firstDataCol="1"/>
  <pivotFields count="4">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0" subtotal="count" baseField="0" baseItem="0"/>
  </dataFields>
  <formats count="1">
    <format dxfId="30">
      <pivotArea outline="0" collapsedLevelsAreSubtotals="1" fieldPosition="0"/>
    </format>
  </formats>
  <chartFormats count="9">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3" count="1" selected="0">
            <x v="0"/>
          </reference>
        </references>
      </pivotArea>
    </chartFormat>
    <chartFormat chart="36" format="6">
      <pivotArea type="data" outline="0" fieldPosition="0">
        <references count="2">
          <reference field="4294967294" count="1" selected="0">
            <x v="0"/>
          </reference>
          <reference field="3"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4CF146-2514-4743-89D1-E078BF2734AE}" name="PivotTable7" cacheId="1147"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17">
  <location ref="E21:F601" firstHeaderRow="1" firstDataRow="1" firstDataCol="1"/>
  <pivotFields count="3">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dataField="1" subtotalTop="0" showAll="0" defaultSubtotal="0"/>
    <pivotField allDrilled="1" subtotalTop="0" showAll="0" dataSourceSort="1" defaultSubtotal="0" defaultAttributeDrillState="1"/>
  </pivotFields>
  <rowFields count="1">
    <field x="0"/>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Average of Patient Waittime" fld="1" subtotal="average" baseField="0" baseItem="11" numFmtId="2"/>
  </dataFields>
  <formats count="1">
    <format dxfId="31">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1ABC4F-3FC3-463B-B5A8-9666BBBBD645}" name="PivotTable5" cacheId="1129"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location ref="A21:B3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formats count="1">
    <format dxfId="32">
      <pivotArea outline="0" collapsedLevelsAreSubtotals="1" fieldPosition="0"/>
    </format>
  </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D78635-16C7-4C09-8DFB-2C10F84A4912}" name="PivotTable4" cacheId="1141"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location ref="A16:B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1">
    <format dxfId="33">
      <pivotArea outline="0" collapsedLevelsAreSubtotals="1" fieldPosition="0"/>
    </format>
  </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47798-334F-4714-8390-E6379395606D}" name="PivotTable2" cacheId="1135" applyNumberFormats="0" applyBorderFormats="0" applyFontFormats="0" applyPatternFormats="0" applyAlignmentFormats="0" applyWidthHeightFormats="1" dataCaption="Values" tag="10192da5-2061-44b4-905a-83feb4433965"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4">
      <pivotArea outline="0" collapsedLevelsAreSubtotals="1" fieldPosition="0"/>
    </format>
  </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03282-4B69-46C3-A94F-32348F621DDA}" name="PivotTable11" cacheId="1159"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33">
  <location ref="M34:N37" firstHeaderRow="1" firstDataRow="1" firstDataCol="1"/>
  <pivotFields count="4">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0" subtotal="count" baseField="0" baseItem="0"/>
  </dataFields>
  <formats count="1">
    <format dxfId="35">
      <pivotArea outline="0" collapsedLevelsAreSubtotals="1" fieldPosition="0"/>
    </format>
  </formats>
  <chartFormats count="12">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0" format="2">
      <pivotArea type="data" outline="0" fieldPosition="0">
        <references count="2">
          <reference field="4294967294" count="1" selected="0">
            <x v="0"/>
          </reference>
          <reference field="2" count="1" selected="0">
            <x v="0"/>
          </reference>
        </references>
      </pivotArea>
    </chartFormat>
    <chartFormat chart="30" format="3">
      <pivotArea type="data" outline="0" fieldPosition="0">
        <references count="2">
          <reference field="4294967294" count="1" selected="0">
            <x v="0"/>
          </reference>
          <reference field="2"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2" count="1" selected="0">
            <x v="0"/>
          </reference>
        </references>
      </pivotArea>
    </chartFormat>
    <chartFormat chart="31" format="6">
      <pivotArea type="data" outline="0" fieldPosition="0">
        <references count="2">
          <reference field="4294967294" count="1" selected="0">
            <x v="0"/>
          </reference>
          <reference field="2"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2" count="1" selected="0">
            <x v="0"/>
          </reference>
        </references>
      </pivotArea>
    </chartFormat>
    <chartFormat chart="32" format="6">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101D7A-E757-4F8F-A562-552ABF942DF9}" name="PivotTable10" cacheId="1156"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29">
  <location ref="P21:Q3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1"/>
    </i>
    <i>
      <x v="3"/>
    </i>
    <i>
      <x/>
    </i>
    <i>
      <x v="6"/>
    </i>
    <i>
      <x v="5"/>
    </i>
    <i>
      <x v="2"/>
    </i>
    <i>
      <x v="4"/>
    </i>
    <i t="grand">
      <x/>
    </i>
  </rowItems>
  <colItems count="1">
    <i/>
  </colItems>
  <dataFields count="1">
    <dataField name="Count of Patient Id" fld="1" subtotal="count" baseField="0" baseItem="0"/>
  </dataFields>
  <formats count="1">
    <format dxfId="36">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9C6668-B8FE-4E2C-A7A2-0F726BFD1414}" name="PivotTable1" cacheId="1132" applyNumberFormats="0" applyBorderFormats="0" applyFontFormats="0" applyPatternFormats="0" applyAlignmentFormats="0" applyWidthHeightFormats="1" dataCaption="Values" tag="82b84bef-da26-45c8-b4ab-dc562a3084a7"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4D288E-EE96-40BA-82BC-25B986049801}" name="PivotTable9" cacheId="1153"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21">
  <location ref="M21:N3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Id" fld="2" subtotal="count" baseField="1" baseItem="0"/>
  </dataFields>
  <formats count="1">
    <format dxfId="37">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F9DFE1-CE40-4B7C-90D7-56BC2176D4F0}" name="PivotTable3" cacheId="1138"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8">
      <pivotArea outline="0" collapsedLevelsAreSubtotals="1" fieldPosition="0"/>
    </format>
  </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7AA0A7-D9DA-4785-90E0-5C85BC226AD2}" name="PivotTable6" cacheId="1144"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9">
  <location ref="A37:B617" firstHeaderRow="1" firstDataRow="1" firstDataCol="1"/>
  <pivotFields count="3">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llDrilled="1" subtotalTop="0" showAll="0" dataSourceSort="1" defaultSubtotal="0" defaultAttributeDrillState="1"/>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Count of Patient Id" fld="0" subtotal="count" baseField="0" baseItem="0"/>
  </dataFields>
  <formats count="1">
    <format dxfId="3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88939E-E4A9-415C-81F6-81B8E8C77D7A}" name="PivotTable8" cacheId="1150" applyNumberFormats="0" applyBorderFormats="0" applyFontFormats="0" applyPatternFormats="0" applyAlignmentFormats="0" applyWidthHeightFormats="1" dataCaption="Values" tag="5da651c9-6665-4ab2-a9d2-01294cefbfe0" updatedVersion="8" minRefreshableVersion="3" itemPrintTitles="1" createdVersion="5" indent="0" outline="1" outlineData="1" multipleFieldFilters="0" chartFormat="25">
  <location ref="I21:J592" firstHeaderRow="1" firstDataRow="1" firstDataCol="1"/>
  <pivotFields count="3">
    <pivotField axis="axisRow" allDrilled="1" subtotalTop="0" showAll="0" dataSourceSort="1" defaultSubtotal="0" defaultAttributeDrillState="1">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pivotField>
    <pivotField allDrilled="1" subtotalTop="0" showAll="0" dataSourceSort="1" defaultSubtotal="0" defaultAttributeDrillState="1"/>
    <pivotField dataField="1" subtotalTop="0" showAll="0" defaultSubtotal="0"/>
  </pivotFields>
  <rowFields count="1">
    <field x="0"/>
  </rowFields>
  <rowItems count="5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t="grand">
      <x/>
    </i>
  </rowItems>
  <colItems count="1">
    <i/>
  </colItems>
  <dataFields count="1">
    <dataField name="Average of Patient Satisfaction Score" fld="2" subtotal="average" baseField="0" baseItem="0"/>
  </dataFields>
  <formats count="1">
    <format dxfId="40">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5D9A6DD-BD38-493E-8D15-F72ABCE4D9D5}" sourceName="[Calender_Table].[date (Year)]">
  <pivotTables>
    <pivotTable tabId="1" name="PivotTable4"/>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89797639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32E1FC6-52C2-4DFC-833D-71C0559E12F6}"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89797639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9C228239-7C80-4A79-97AD-AB5BFEAB21ED}" cache="Slicer_date__Year" caption="date (Year)" columnCount="2" showCaption="0" level="1" style="hospital year slicer" rowHeight="288000"/>
  <slicer name="date (Month)" xr10:uid="{4BDBA3A0-C86A-49EC-A56A-1FE44E7DC6EB}" cache="Slicer_date__Month" caption="date (Month)" showCaption="0" level="1" style="hospital year slicer"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6FC1-5502-42B0-B91C-A80F099A0C4F}">
  <dimension ref="A3:Q617"/>
  <sheetViews>
    <sheetView topLeftCell="K36" zoomScale="190" zoomScaleNormal="190" workbookViewId="0">
      <selection activeCell="O54" sqref="O54"/>
    </sheetView>
  </sheetViews>
  <sheetFormatPr defaultRowHeight="15" x14ac:dyDescent="0.25"/>
  <cols>
    <col min="1" max="1" width="26" bestFit="1" customWidth="1"/>
    <col min="2" max="2" width="18.140625" bestFit="1" customWidth="1"/>
    <col min="5" max="5" width="13.42578125" bestFit="1" customWidth="1"/>
    <col min="6" max="6" width="26.5703125" bestFit="1" customWidth="1"/>
    <col min="9" max="9" width="13.42578125" bestFit="1" customWidth="1"/>
    <col min="10" max="10" width="34.85546875" bestFit="1" customWidth="1"/>
    <col min="13" max="13" width="16.42578125" bestFit="1" customWidth="1"/>
    <col min="14" max="14" width="18.140625" bestFit="1" customWidth="1"/>
    <col min="15" max="15" width="19.140625" bestFit="1" customWidth="1"/>
    <col min="16" max="16" width="16.140625" bestFit="1" customWidth="1"/>
    <col min="17" max="17" width="18.140625" bestFit="1" customWidth="1"/>
  </cols>
  <sheetData>
    <row r="3" spans="1:2" x14ac:dyDescent="0.25">
      <c r="A3" t="s">
        <v>1</v>
      </c>
    </row>
    <row r="4" spans="1:2" x14ac:dyDescent="0.25">
      <c r="A4" t="s">
        <v>0</v>
      </c>
    </row>
    <row r="5" spans="1:2" x14ac:dyDescent="0.25">
      <c r="A5" s="7">
        <v>9216</v>
      </c>
    </row>
    <row r="8" spans="1:2" x14ac:dyDescent="0.25">
      <c r="A8" t="s">
        <v>2</v>
      </c>
    </row>
    <row r="9" spans="1:2" x14ac:dyDescent="0.25">
      <c r="A9" s="1">
        <v>35.259874131944443</v>
      </c>
    </row>
    <row r="12" spans="1:2" x14ac:dyDescent="0.25">
      <c r="A12" t="s">
        <v>3</v>
      </c>
    </row>
    <row r="13" spans="1:2" x14ac:dyDescent="0.25">
      <c r="A13" s="1">
        <v>4.9920540325784666</v>
      </c>
    </row>
    <row r="16" spans="1:2" x14ac:dyDescent="0.25">
      <c r="A16" s="3" t="s">
        <v>4</v>
      </c>
      <c r="B16" t="s">
        <v>6</v>
      </c>
    </row>
    <row r="17" spans="1:17" x14ac:dyDescent="0.25">
      <c r="A17" s="4" t="s">
        <v>7</v>
      </c>
      <c r="B17" s="7">
        <v>4338</v>
      </c>
    </row>
    <row r="18" spans="1:17" x14ac:dyDescent="0.25">
      <c r="A18" s="4" t="s">
        <v>29</v>
      </c>
      <c r="B18" s="7">
        <v>4878</v>
      </c>
    </row>
    <row r="19" spans="1:17" x14ac:dyDescent="0.25">
      <c r="A19" s="4" t="s">
        <v>5</v>
      </c>
      <c r="B19" s="7">
        <v>9216</v>
      </c>
    </row>
    <row r="21" spans="1:17" x14ac:dyDescent="0.25">
      <c r="A21" s="3" t="s">
        <v>4</v>
      </c>
      <c r="B21" t="s">
        <v>6</v>
      </c>
      <c r="E21" s="3" t="s">
        <v>4</v>
      </c>
      <c r="F21" t="s">
        <v>2</v>
      </c>
      <c r="I21" s="3" t="s">
        <v>4</v>
      </c>
      <c r="J21" t="s">
        <v>3</v>
      </c>
      <c r="M21" s="3" t="s">
        <v>4</v>
      </c>
      <c r="N21" t="s">
        <v>6</v>
      </c>
      <c r="P21" s="3" t="s">
        <v>4</v>
      </c>
      <c r="Q21" t="s">
        <v>6</v>
      </c>
    </row>
    <row r="22" spans="1:17" x14ac:dyDescent="0.25">
      <c r="A22" s="4" t="s">
        <v>30</v>
      </c>
      <c r="B22" s="7">
        <v>513</v>
      </c>
      <c r="E22" s="5">
        <v>45017</v>
      </c>
      <c r="F22" s="1">
        <v>40.473684210526315</v>
      </c>
      <c r="I22" s="5">
        <v>45017</v>
      </c>
      <c r="J22" s="1">
        <v>3.8</v>
      </c>
      <c r="M22" s="4" t="s">
        <v>8</v>
      </c>
      <c r="N22" s="7">
        <v>1176</v>
      </c>
      <c r="P22" s="4" t="s">
        <v>24</v>
      </c>
      <c r="Q22" s="7">
        <v>86</v>
      </c>
    </row>
    <row r="23" spans="1:17" x14ac:dyDescent="0.25">
      <c r="A23" s="4" t="s">
        <v>31</v>
      </c>
      <c r="B23" s="7">
        <v>431</v>
      </c>
      <c r="E23" s="5">
        <v>45018</v>
      </c>
      <c r="F23" s="1">
        <v>29.46153846153846</v>
      </c>
      <c r="I23" s="5">
        <v>45018</v>
      </c>
      <c r="J23" s="1">
        <v>7.75</v>
      </c>
      <c r="M23" s="4" t="s">
        <v>9</v>
      </c>
      <c r="N23" s="7">
        <v>1160</v>
      </c>
      <c r="P23" s="4" t="s">
        <v>18</v>
      </c>
      <c r="Q23" s="7">
        <v>178</v>
      </c>
    </row>
    <row r="24" spans="1:17" x14ac:dyDescent="0.25">
      <c r="A24" s="4" t="s">
        <v>32</v>
      </c>
      <c r="B24" s="7">
        <v>506</v>
      </c>
      <c r="E24" s="5">
        <v>45019</v>
      </c>
      <c r="F24" s="1">
        <v>33.928571428571431</v>
      </c>
      <c r="I24" s="5">
        <v>45019</v>
      </c>
      <c r="J24" s="1">
        <v>4.5999999999999996</v>
      </c>
      <c r="M24" s="4" t="s">
        <v>10</v>
      </c>
      <c r="N24" s="7">
        <v>1207</v>
      </c>
      <c r="P24" s="4" t="s">
        <v>20</v>
      </c>
      <c r="Q24" s="7">
        <v>193</v>
      </c>
    </row>
    <row r="25" spans="1:17" x14ac:dyDescent="0.25">
      <c r="A25" s="4" t="s">
        <v>33</v>
      </c>
      <c r="B25" s="7">
        <v>948</v>
      </c>
      <c r="E25" s="5">
        <v>45020</v>
      </c>
      <c r="F25" s="1">
        <v>32.222222222222221</v>
      </c>
      <c r="I25" s="5">
        <v>45020</v>
      </c>
      <c r="J25" s="1">
        <v>6</v>
      </c>
      <c r="M25" s="4" t="s">
        <v>11</v>
      </c>
      <c r="N25" s="7">
        <v>1191</v>
      </c>
      <c r="P25" s="4" t="s">
        <v>17</v>
      </c>
      <c r="Q25" s="7">
        <v>248</v>
      </c>
    </row>
    <row r="26" spans="1:17" x14ac:dyDescent="0.25">
      <c r="A26" s="4" t="s">
        <v>34</v>
      </c>
      <c r="B26" s="7">
        <v>999</v>
      </c>
      <c r="E26" s="5">
        <v>45021</v>
      </c>
      <c r="F26" s="1">
        <v>35.736842105263158</v>
      </c>
      <c r="I26" s="5">
        <v>45021</v>
      </c>
      <c r="J26" s="1">
        <v>5.5714285714285712</v>
      </c>
      <c r="M26" s="4" t="s">
        <v>12</v>
      </c>
      <c r="N26" s="7">
        <v>1137</v>
      </c>
      <c r="P26" s="4" t="s">
        <v>23</v>
      </c>
      <c r="Q26" s="7">
        <v>276</v>
      </c>
    </row>
    <row r="27" spans="1:17" x14ac:dyDescent="0.25">
      <c r="A27" s="4" t="s">
        <v>35</v>
      </c>
      <c r="B27" s="7">
        <v>991</v>
      </c>
      <c r="E27" s="5">
        <v>45022</v>
      </c>
      <c r="F27" s="1">
        <v>30.142857142857142</v>
      </c>
      <c r="I27" s="5">
        <v>45022</v>
      </c>
      <c r="J27" s="1">
        <v>2</v>
      </c>
      <c r="M27" s="4" t="s">
        <v>13</v>
      </c>
      <c r="N27" s="7">
        <v>1147</v>
      </c>
      <c r="P27" s="4" t="s">
        <v>22</v>
      </c>
      <c r="Q27" s="7">
        <v>995</v>
      </c>
    </row>
    <row r="28" spans="1:17" x14ac:dyDescent="0.25">
      <c r="A28" s="4" t="s">
        <v>16</v>
      </c>
      <c r="B28" s="7">
        <v>952</v>
      </c>
      <c r="E28" s="5">
        <v>45023</v>
      </c>
      <c r="F28" s="1">
        <v>33.81818181818182</v>
      </c>
      <c r="I28" s="5">
        <v>45023</v>
      </c>
      <c r="J28" s="1">
        <v>8</v>
      </c>
      <c r="M28" s="4" t="s">
        <v>14</v>
      </c>
      <c r="N28" s="7">
        <v>1734</v>
      </c>
      <c r="P28" s="4" t="s">
        <v>19</v>
      </c>
      <c r="Q28" s="7">
        <v>1840</v>
      </c>
    </row>
    <row r="29" spans="1:17" x14ac:dyDescent="0.25">
      <c r="A29" s="4" t="s">
        <v>36</v>
      </c>
      <c r="B29" s="7">
        <v>1024</v>
      </c>
      <c r="E29" s="5">
        <v>45024</v>
      </c>
      <c r="F29" s="1">
        <v>31.681818181818183</v>
      </c>
      <c r="I29" s="5">
        <v>45024</v>
      </c>
      <c r="J29" s="1">
        <v>8</v>
      </c>
      <c r="M29" s="4" t="s">
        <v>15</v>
      </c>
      <c r="N29" s="7">
        <v>464</v>
      </c>
      <c r="P29" s="4" t="s">
        <v>21</v>
      </c>
      <c r="Q29" s="7">
        <v>5400</v>
      </c>
    </row>
    <row r="30" spans="1:17" x14ac:dyDescent="0.25">
      <c r="A30" s="4" t="s">
        <v>37</v>
      </c>
      <c r="B30" s="7">
        <v>935</v>
      </c>
      <c r="E30" s="5">
        <v>45025</v>
      </c>
      <c r="F30" s="1">
        <v>36.416666666666664</v>
      </c>
      <c r="I30" s="5">
        <v>45025</v>
      </c>
      <c r="J30" s="1">
        <v>5.25</v>
      </c>
      <c r="M30" s="4" t="s">
        <v>5</v>
      </c>
      <c r="N30" s="7">
        <v>9216</v>
      </c>
      <c r="P30" s="4" t="s">
        <v>5</v>
      </c>
      <c r="Q30" s="7">
        <v>9216</v>
      </c>
    </row>
    <row r="31" spans="1:17" x14ac:dyDescent="0.25">
      <c r="A31" s="4" t="s">
        <v>38</v>
      </c>
      <c r="B31" s="7">
        <v>964</v>
      </c>
      <c r="E31" s="5">
        <v>45026</v>
      </c>
      <c r="F31" s="1">
        <v>33.692307692307693</v>
      </c>
      <c r="I31" s="5">
        <v>45026</v>
      </c>
      <c r="J31" s="1">
        <v>6</v>
      </c>
    </row>
    <row r="32" spans="1:17" x14ac:dyDescent="0.25">
      <c r="A32" s="4" t="s">
        <v>39</v>
      </c>
      <c r="B32" s="7">
        <v>464</v>
      </c>
      <c r="E32" s="5">
        <v>45027</v>
      </c>
      <c r="F32" s="1">
        <v>39.117647058823529</v>
      </c>
      <c r="I32" s="5">
        <v>45027</v>
      </c>
      <c r="J32" s="1">
        <v>6.5</v>
      </c>
    </row>
    <row r="33" spans="1:17" x14ac:dyDescent="0.25">
      <c r="A33" s="4" t="s">
        <v>40</v>
      </c>
      <c r="B33" s="7">
        <v>489</v>
      </c>
      <c r="E33" s="5">
        <v>45028</v>
      </c>
      <c r="F33" s="1">
        <v>36.93333333333333</v>
      </c>
      <c r="I33" s="5">
        <v>45028</v>
      </c>
      <c r="J33" s="1">
        <v>5.75</v>
      </c>
    </row>
    <row r="34" spans="1:17" x14ac:dyDescent="0.25">
      <c r="A34" s="4" t="s">
        <v>5</v>
      </c>
      <c r="B34" s="7">
        <v>9216</v>
      </c>
      <c r="E34" s="5">
        <v>45029</v>
      </c>
      <c r="F34" s="1">
        <v>29.923076923076923</v>
      </c>
      <c r="I34" s="5">
        <v>45029</v>
      </c>
      <c r="J34" s="1">
        <v>5.6</v>
      </c>
      <c r="M34" s="3" t="s">
        <v>4</v>
      </c>
      <c r="N34" t="s">
        <v>6</v>
      </c>
      <c r="P34" s="3" t="s">
        <v>4</v>
      </c>
      <c r="Q34" t="s">
        <v>6</v>
      </c>
    </row>
    <row r="35" spans="1:17" x14ac:dyDescent="0.25">
      <c r="E35" s="5">
        <v>45030</v>
      </c>
      <c r="F35" s="1">
        <v>31.666666666666668</v>
      </c>
      <c r="I35" s="5">
        <v>45030</v>
      </c>
      <c r="J35" s="1">
        <v>6.5</v>
      </c>
      <c r="M35" s="4" t="s">
        <v>25</v>
      </c>
      <c r="N35" s="7">
        <v>4487</v>
      </c>
      <c r="P35" s="4" t="s">
        <v>27</v>
      </c>
      <c r="Q35" s="7">
        <v>5467</v>
      </c>
    </row>
    <row r="36" spans="1:17" x14ac:dyDescent="0.25">
      <c r="E36" s="5">
        <v>45031</v>
      </c>
      <c r="F36" s="1">
        <v>40.25</v>
      </c>
      <c r="I36" s="5">
        <v>45031</v>
      </c>
      <c r="J36" s="1">
        <v>5.666666666666667</v>
      </c>
      <c r="M36" s="4" t="s">
        <v>26</v>
      </c>
      <c r="N36" s="7">
        <v>4729</v>
      </c>
      <c r="P36" s="4" t="s">
        <v>28</v>
      </c>
      <c r="Q36" s="7">
        <v>3749</v>
      </c>
    </row>
    <row r="37" spans="1:17" x14ac:dyDescent="0.25">
      <c r="A37" s="3" t="s">
        <v>4</v>
      </c>
      <c r="B37" t="s">
        <v>6</v>
      </c>
      <c r="E37" s="5">
        <v>45032</v>
      </c>
      <c r="F37" s="1">
        <v>30</v>
      </c>
      <c r="I37" s="5">
        <v>45032</v>
      </c>
      <c r="J37" s="1">
        <v>5.666666666666667</v>
      </c>
      <c r="M37" s="4" t="s">
        <v>5</v>
      </c>
      <c r="N37" s="7">
        <v>9216</v>
      </c>
      <c r="P37" s="4" t="s">
        <v>5</v>
      </c>
      <c r="Q37" s="7">
        <v>9216</v>
      </c>
    </row>
    <row r="38" spans="1:17" x14ac:dyDescent="0.25">
      <c r="A38" s="5">
        <v>45017</v>
      </c>
      <c r="B38" s="7">
        <v>19</v>
      </c>
      <c r="E38" s="5">
        <v>45033</v>
      </c>
      <c r="F38" s="1">
        <v>35</v>
      </c>
      <c r="I38" s="5">
        <v>45033</v>
      </c>
      <c r="J38" s="1">
        <v>5.8</v>
      </c>
    </row>
    <row r="39" spans="1:17" x14ac:dyDescent="0.25">
      <c r="A39" s="5">
        <v>45018</v>
      </c>
      <c r="B39" s="7">
        <v>13</v>
      </c>
      <c r="E39" s="5">
        <v>45034</v>
      </c>
      <c r="F39" s="1">
        <v>41.85</v>
      </c>
      <c r="I39" s="5">
        <v>45034</v>
      </c>
      <c r="J39" s="1">
        <v>4.666666666666667</v>
      </c>
    </row>
    <row r="40" spans="1:17" x14ac:dyDescent="0.25">
      <c r="A40" s="5">
        <v>45019</v>
      </c>
      <c r="B40" s="7">
        <v>14</v>
      </c>
      <c r="E40" s="5">
        <v>45035</v>
      </c>
      <c r="F40" s="1">
        <v>33.277777777777779</v>
      </c>
      <c r="I40" s="5">
        <v>45035</v>
      </c>
      <c r="J40" s="1">
        <v>4.833333333333333</v>
      </c>
    </row>
    <row r="41" spans="1:17" x14ac:dyDescent="0.25">
      <c r="A41" s="5">
        <v>45020</v>
      </c>
      <c r="B41" s="7">
        <v>9</v>
      </c>
      <c r="E41" s="5">
        <v>45036</v>
      </c>
      <c r="F41" s="1">
        <v>32.9375</v>
      </c>
      <c r="I41" s="5">
        <v>45036</v>
      </c>
      <c r="J41" s="1">
        <v>2.3333333333333335</v>
      </c>
      <c r="M41" s="3" t="s">
        <v>4</v>
      </c>
      <c r="N41" t="s">
        <v>6</v>
      </c>
      <c r="O41" t="s">
        <v>43</v>
      </c>
    </row>
    <row r="42" spans="1:17" x14ac:dyDescent="0.25">
      <c r="A42" s="5">
        <v>45021</v>
      </c>
      <c r="B42" s="7">
        <v>19</v>
      </c>
      <c r="E42" s="5">
        <v>45037</v>
      </c>
      <c r="F42" s="1">
        <v>33.266666666666666</v>
      </c>
      <c r="I42" s="5">
        <v>45037</v>
      </c>
      <c r="J42" s="1">
        <v>4.5</v>
      </c>
      <c r="M42" s="4" t="s">
        <v>41</v>
      </c>
      <c r="N42" s="7">
        <v>4612</v>
      </c>
      <c r="O42" s="8">
        <v>0.50043402777777779</v>
      </c>
    </row>
    <row r="43" spans="1:17" x14ac:dyDescent="0.25">
      <c r="A43" s="5">
        <v>45022</v>
      </c>
      <c r="B43" s="7">
        <v>14</v>
      </c>
      <c r="E43" s="5">
        <v>45038</v>
      </c>
      <c r="F43" s="1">
        <v>34.444444444444443</v>
      </c>
      <c r="I43" s="5">
        <v>45038</v>
      </c>
      <c r="J43" s="1">
        <v>6.666666666666667</v>
      </c>
      <c r="M43" s="4" t="s">
        <v>42</v>
      </c>
      <c r="N43" s="7">
        <v>4604</v>
      </c>
      <c r="O43" s="8">
        <v>0.49956597222222221</v>
      </c>
    </row>
    <row r="44" spans="1:17" x14ac:dyDescent="0.25">
      <c r="A44" s="5">
        <v>45023</v>
      </c>
      <c r="B44" s="7">
        <v>11</v>
      </c>
      <c r="E44" s="5">
        <v>45039</v>
      </c>
      <c r="F44" s="1">
        <v>43.416666666666664</v>
      </c>
      <c r="I44" s="5">
        <v>45039</v>
      </c>
      <c r="J44" s="1">
        <v>7.5</v>
      </c>
      <c r="M44" s="4" t="s">
        <v>5</v>
      </c>
      <c r="N44" s="7">
        <v>9216</v>
      </c>
      <c r="O44" s="8">
        <v>1</v>
      </c>
    </row>
    <row r="45" spans="1:17" x14ac:dyDescent="0.25">
      <c r="A45" s="5">
        <v>45024</v>
      </c>
      <c r="B45" s="7">
        <v>22</v>
      </c>
      <c r="E45" s="5">
        <v>45040</v>
      </c>
      <c r="F45" s="1">
        <v>36.357142857142854</v>
      </c>
      <c r="I45" s="5">
        <v>45040</v>
      </c>
      <c r="J45" s="1">
        <v>5.2857142857142856</v>
      </c>
    </row>
    <row r="46" spans="1:17" x14ac:dyDescent="0.25">
      <c r="A46" s="5">
        <v>45025</v>
      </c>
      <c r="B46" s="7">
        <v>12</v>
      </c>
      <c r="E46" s="5">
        <v>45041</v>
      </c>
      <c r="F46" s="1">
        <v>40.611111111111114</v>
      </c>
      <c r="I46" s="5">
        <v>45041</v>
      </c>
      <c r="J46" s="1">
        <v>2.875</v>
      </c>
    </row>
    <row r="47" spans="1:17" x14ac:dyDescent="0.25">
      <c r="A47" s="5">
        <v>45026</v>
      </c>
      <c r="B47" s="7">
        <v>13</v>
      </c>
      <c r="E47" s="5">
        <v>45042</v>
      </c>
      <c r="F47" s="1">
        <v>29.875</v>
      </c>
      <c r="I47" s="5">
        <v>45042</v>
      </c>
      <c r="J47" s="1">
        <v>6.25</v>
      </c>
    </row>
    <row r="48" spans="1:17" x14ac:dyDescent="0.25">
      <c r="A48" s="5">
        <v>45027</v>
      </c>
      <c r="B48" s="7">
        <v>17</v>
      </c>
      <c r="E48" s="5">
        <v>45043</v>
      </c>
      <c r="F48" s="1">
        <v>33.5</v>
      </c>
      <c r="I48" s="5">
        <v>45043</v>
      </c>
      <c r="J48" s="1">
        <v>6.125</v>
      </c>
      <c r="M48" s="9" t="s">
        <v>44</v>
      </c>
      <c r="N48" s="9" t="s">
        <v>45</v>
      </c>
      <c r="O48" s="9" t="s">
        <v>46</v>
      </c>
      <c r="P48" s="9" t="s">
        <v>47</v>
      </c>
    </row>
    <row r="49" spans="1:16" x14ac:dyDescent="0.25">
      <c r="A49" s="5">
        <v>45028</v>
      </c>
      <c r="B49" s="7">
        <v>30</v>
      </c>
      <c r="E49" s="5">
        <v>45044</v>
      </c>
      <c r="F49" s="1">
        <v>32.5625</v>
      </c>
      <c r="I49" s="5">
        <v>45044</v>
      </c>
      <c r="J49" s="1">
        <v>5.75</v>
      </c>
      <c r="M49" s="10" t="str">
        <f>M43</f>
        <v>Not Admitted</v>
      </c>
      <c r="N49" s="10">
        <f t="shared" ref="N48:O49" si="0">N43</f>
        <v>4604</v>
      </c>
      <c r="O49" s="11">
        <f t="shared" si="0"/>
        <v>0.49956597222222221</v>
      </c>
      <c r="P49" s="10"/>
    </row>
    <row r="50" spans="1:16" x14ac:dyDescent="0.25">
      <c r="A50" s="5">
        <v>45029</v>
      </c>
      <c r="B50" s="7">
        <v>13</v>
      </c>
      <c r="E50" s="5">
        <v>45045</v>
      </c>
      <c r="F50" s="1">
        <v>38.571428571428569</v>
      </c>
      <c r="I50" s="5">
        <v>45045</v>
      </c>
      <c r="J50" s="1">
        <v>5.375</v>
      </c>
      <c r="M50" s="10" t="str">
        <f>M42</f>
        <v>Admitted</v>
      </c>
      <c r="N50" s="10">
        <f>N42</f>
        <v>4612</v>
      </c>
      <c r="O50" s="11">
        <f>O42</f>
        <v>0.50043402777777779</v>
      </c>
      <c r="P50" s="10"/>
    </row>
    <row r="51" spans="1:16" x14ac:dyDescent="0.25">
      <c r="A51" s="5">
        <v>45030</v>
      </c>
      <c r="B51" s="7">
        <v>21</v>
      </c>
      <c r="E51" s="5">
        <v>45046</v>
      </c>
      <c r="F51" s="1">
        <v>32.714285714285715</v>
      </c>
      <c r="I51" s="5">
        <v>45046</v>
      </c>
      <c r="J51" s="1">
        <v>5.6</v>
      </c>
    </row>
    <row r="52" spans="1:16" x14ac:dyDescent="0.25">
      <c r="A52" s="5">
        <v>45031</v>
      </c>
      <c r="B52" s="7">
        <v>12</v>
      </c>
      <c r="E52" s="5">
        <v>45047</v>
      </c>
      <c r="F52" s="1">
        <v>31.5</v>
      </c>
      <c r="I52" s="5">
        <v>45047</v>
      </c>
      <c r="J52" s="1">
        <v>5.5</v>
      </c>
    </row>
    <row r="53" spans="1:16" x14ac:dyDescent="0.25">
      <c r="A53" s="5">
        <v>45032</v>
      </c>
      <c r="B53" s="7">
        <v>17</v>
      </c>
      <c r="E53" s="5">
        <v>45048</v>
      </c>
      <c r="F53" s="1">
        <v>34.25</v>
      </c>
      <c r="I53" s="5">
        <v>45048</v>
      </c>
      <c r="J53" s="1">
        <v>3.3333333333333335</v>
      </c>
    </row>
    <row r="54" spans="1:16" x14ac:dyDescent="0.25">
      <c r="A54" s="5">
        <v>45033</v>
      </c>
      <c r="B54" s="7">
        <v>16</v>
      </c>
      <c r="E54" s="5">
        <v>45049</v>
      </c>
      <c r="F54" s="1">
        <v>41.1</v>
      </c>
      <c r="I54" s="5">
        <v>45049</v>
      </c>
      <c r="J54" s="1">
        <v>6</v>
      </c>
    </row>
    <row r="55" spans="1:16" x14ac:dyDescent="0.25">
      <c r="A55" s="5">
        <v>45034</v>
      </c>
      <c r="B55" s="7">
        <v>20</v>
      </c>
      <c r="E55" s="5">
        <v>45050</v>
      </c>
      <c r="F55" s="1">
        <v>31</v>
      </c>
      <c r="I55" s="5">
        <v>45050</v>
      </c>
      <c r="J55" s="1">
        <v>4.8</v>
      </c>
    </row>
    <row r="56" spans="1:16" x14ac:dyDescent="0.25">
      <c r="A56" s="5">
        <v>45035</v>
      </c>
      <c r="B56" s="7">
        <v>18</v>
      </c>
      <c r="E56" s="5">
        <v>45051</v>
      </c>
      <c r="F56" s="1">
        <v>33.666666666666664</v>
      </c>
      <c r="I56" s="5">
        <v>45051</v>
      </c>
      <c r="J56" s="1">
        <v>5.5</v>
      </c>
    </row>
    <row r="57" spans="1:16" x14ac:dyDescent="0.25">
      <c r="A57" s="5">
        <v>45036</v>
      </c>
      <c r="B57" s="7">
        <v>16</v>
      </c>
      <c r="E57" s="5">
        <v>45052</v>
      </c>
      <c r="F57" s="1">
        <v>34.5625</v>
      </c>
      <c r="I57" s="5">
        <v>45052</v>
      </c>
      <c r="J57" s="1">
        <v>5.25</v>
      </c>
    </row>
    <row r="58" spans="1:16" x14ac:dyDescent="0.25">
      <c r="A58" s="5">
        <v>45037</v>
      </c>
      <c r="B58" s="7">
        <v>15</v>
      </c>
      <c r="E58" s="5">
        <v>45053</v>
      </c>
      <c r="F58" s="1">
        <v>34.93333333333333</v>
      </c>
      <c r="I58" s="5">
        <v>45053</v>
      </c>
      <c r="J58" s="1">
        <v>4.8</v>
      </c>
    </row>
    <row r="59" spans="1:16" x14ac:dyDescent="0.25">
      <c r="A59" s="5">
        <v>45038</v>
      </c>
      <c r="B59" s="7">
        <v>18</v>
      </c>
      <c r="E59" s="5">
        <v>45054</v>
      </c>
      <c r="F59" s="1">
        <v>36.4</v>
      </c>
      <c r="I59" s="5">
        <v>45054</v>
      </c>
      <c r="J59" s="1">
        <v>4.5</v>
      </c>
    </row>
    <row r="60" spans="1:16" x14ac:dyDescent="0.25">
      <c r="A60" s="5">
        <v>45039</v>
      </c>
      <c r="B60" s="7">
        <v>12</v>
      </c>
      <c r="E60" s="5">
        <v>45055</v>
      </c>
      <c r="F60" s="1">
        <v>35.549999999999997</v>
      </c>
      <c r="I60" s="5">
        <v>45055</v>
      </c>
      <c r="J60" s="1">
        <v>5</v>
      </c>
    </row>
    <row r="61" spans="1:16" x14ac:dyDescent="0.25">
      <c r="A61" s="5">
        <v>45040</v>
      </c>
      <c r="B61" s="7">
        <v>14</v>
      </c>
      <c r="E61" s="5">
        <v>45056</v>
      </c>
      <c r="F61" s="1">
        <v>30.692307692307693</v>
      </c>
      <c r="I61" s="5">
        <v>45056</v>
      </c>
      <c r="J61" s="1">
        <v>5.333333333333333</v>
      </c>
    </row>
    <row r="62" spans="1:16" x14ac:dyDescent="0.25">
      <c r="A62" s="5">
        <v>45041</v>
      </c>
      <c r="B62" s="7">
        <v>18</v>
      </c>
      <c r="E62" s="5">
        <v>45057</v>
      </c>
      <c r="F62" s="1">
        <v>33.611111111111114</v>
      </c>
      <c r="I62" s="5">
        <v>45057</v>
      </c>
      <c r="J62" s="1">
        <v>4.4000000000000004</v>
      </c>
    </row>
    <row r="63" spans="1:16" x14ac:dyDescent="0.25">
      <c r="A63" s="5">
        <v>45042</v>
      </c>
      <c r="B63" s="7">
        <v>16</v>
      </c>
      <c r="E63" s="5">
        <v>45058</v>
      </c>
      <c r="F63" s="1">
        <v>37.81818181818182</v>
      </c>
      <c r="I63" s="5">
        <v>45058</v>
      </c>
      <c r="J63" s="1">
        <v>3.25</v>
      </c>
    </row>
    <row r="64" spans="1:16" x14ac:dyDescent="0.25">
      <c r="A64" s="5">
        <v>45043</v>
      </c>
      <c r="B64" s="7">
        <v>16</v>
      </c>
      <c r="E64" s="5">
        <v>45059</v>
      </c>
      <c r="F64" s="1">
        <v>40</v>
      </c>
      <c r="I64" s="5">
        <v>45059</v>
      </c>
      <c r="J64" s="1">
        <v>6</v>
      </c>
    </row>
    <row r="65" spans="1:10" x14ac:dyDescent="0.25">
      <c r="A65" s="5">
        <v>45044</v>
      </c>
      <c r="B65" s="7">
        <v>16</v>
      </c>
      <c r="E65" s="5">
        <v>45060</v>
      </c>
      <c r="F65" s="1">
        <v>32</v>
      </c>
      <c r="I65" s="5">
        <v>45060</v>
      </c>
      <c r="J65" s="1">
        <v>3.3333333333333335</v>
      </c>
    </row>
    <row r="66" spans="1:10" x14ac:dyDescent="0.25">
      <c r="A66" s="5">
        <v>45045</v>
      </c>
      <c r="B66" s="7">
        <v>14</v>
      </c>
      <c r="E66" s="5">
        <v>45061</v>
      </c>
      <c r="F66" s="1">
        <v>31.857142857142858</v>
      </c>
      <c r="I66" s="5">
        <v>45062</v>
      </c>
      <c r="J66" s="1">
        <v>6.7</v>
      </c>
    </row>
    <row r="67" spans="1:10" x14ac:dyDescent="0.25">
      <c r="A67" s="5">
        <v>45046</v>
      </c>
      <c r="B67" s="7">
        <v>14</v>
      </c>
      <c r="E67" s="5">
        <v>45062</v>
      </c>
      <c r="F67" s="1">
        <v>31.142857142857142</v>
      </c>
      <c r="I67" s="5">
        <v>45063</v>
      </c>
      <c r="J67" s="1">
        <v>7.75</v>
      </c>
    </row>
    <row r="68" spans="1:10" x14ac:dyDescent="0.25">
      <c r="A68" s="5">
        <v>45047</v>
      </c>
      <c r="B68" s="7">
        <v>20</v>
      </c>
      <c r="E68" s="5">
        <v>45063</v>
      </c>
      <c r="F68" s="1">
        <v>29.5</v>
      </c>
      <c r="I68" s="5">
        <v>45064</v>
      </c>
      <c r="J68" s="1">
        <v>5.5</v>
      </c>
    </row>
    <row r="69" spans="1:10" x14ac:dyDescent="0.25">
      <c r="A69" s="5">
        <v>45048</v>
      </c>
      <c r="B69" s="7">
        <v>16</v>
      </c>
      <c r="E69" s="5">
        <v>45064</v>
      </c>
      <c r="F69" s="1">
        <v>30.666666666666668</v>
      </c>
      <c r="I69" s="5">
        <v>45065</v>
      </c>
      <c r="J69" s="1">
        <v>4.5</v>
      </c>
    </row>
    <row r="70" spans="1:10" x14ac:dyDescent="0.25">
      <c r="A70" s="5">
        <v>45049</v>
      </c>
      <c r="B70" s="7">
        <v>20</v>
      </c>
      <c r="E70" s="5">
        <v>45065</v>
      </c>
      <c r="F70" s="1">
        <v>39.06666666666667</v>
      </c>
      <c r="I70" s="5">
        <v>45066</v>
      </c>
      <c r="J70" s="1">
        <v>6</v>
      </c>
    </row>
    <row r="71" spans="1:10" x14ac:dyDescent="0.25">
      <c r="A71" s="5">
        <v>45050</v>
      </c>
      <c r="B71" s="7">
        <v>16</v>
      </c>
      <c r="E71" s="5">
        <v>45066</v>
      </c>
      <c r="F71" s="1">
        <v>32.857142857142854</v>
      </c>
      <c r="I71" s="5">
        <v>45067</v>
      </c>
      <c r="J71" s="1">
        <v>5.75</v>
      </c>
    </row>
    <row r="72" spans="1:10" x14ac:dyDescent="0.25">
      <c r="A72" s="5">
        <v>45051</v>
      </c>
      <c r="B72" s="7">
        <v>18</v>
      </c>
      <c r="E72" s="5">
        <v>45067</v>
      </c>
      <c r="F72" s="1">
        <v>38.3125</v>
      </c>
      <c r="I72" s="5">
        <v>45068</v>
      </c>
      <c r="J72" s="1">
        <v>3.1428571428571428</v>
      </c>
    </row>
    <row r="73" spans="1:10" x14ac:dyDescent="0.25">
      <c r="A73" s="5">
        <v>45052</v>
      </c>
      <c r="B73" s="7">
        <v>16</v>
      </c>
      <c r="E73" s="5">
        <v>45068</v>
      </c>
      <c r="F73" s="1">
        <v>35.80952380952381</v>
      </c>
      <c r="I73" s="5">
        <v>45069</v>
      </c>
      <c r="J73" s="1">
        <v>4</v>
      </c>
    </row>
    <row r="74" spans="1:10" x14ac:dyDescent="0.25">
      <c r="A74" s="5">
        <v>45053</v>
      </c>
      <c r="B74" s="7">
        <v>15</v>
      </c>
      <c r="E74" s="5">
        <v>45069</v>
      </c>
      <c r="F74" s="1">
        <v>33.153846153846153</v>
      </c>
      <c r="I74" s="5">
        <v>45070</v>
      </c>
      <c r="J74" s="1">
        <v>6.5</v>
      </c>
    </row>
    <row r="75" spans="1:10" x14ac:dyDescent="0.25">
      <c r="A75" s="5">
        <v>45054</v>
      </c>
      <c r="B75" s="7">
        <v>20</v>
      </c>
      <c r="E75" s="5">
        <v>45070</v>
      </c>
      <c r="F75" s="1">
        <v>39.18181818181818</v>
      </c>
      <c r="I75" s="5">
        <v>45071</v>
      </c>
      <c r="J75" s="1">
        <v>4</v>
      </c>
    </row>
    <row r="76" spans="1:10" x14ac:dyDescent="0.25">
      <c r="A76" s="5">
        <v>45055</v>
      </c>
      <c r="B76" s="7">
        <v>20</v>
      </c>
      <c r="E76" s="5">
        <v>45071</v>
      </c>
      <c r="F76" s="1">
        <v>36.3125</v>
      </c>
      <c r="I76" s="5">
        <v>45072</v>
      </c>
      <c r="J76" s="1">
        <v>7.333333333333333</v>
      </c>
    </row>
    <row r="77" spans="1:10" x14ac:dyDescent="0.25">
      <c r="A77" s="5">
        <v>45056</v>
      </c>
      <c r="B77" s="7">
        <v>13</v>
      </c>
      <c r="E77" s="5">
        <v>45072</v>
      </c>
      <c r="F77" s="1">
        <v>33</v>
      </c>
      <c r="I77" s="5">
        <v>45073</v>
      </c>
      <c r="J77" s="1">
        <v>5.333333333333333</v>
      </c>
    </row>
    <row r="78" spans="1:10" x14ac:dyDescent="0.25">
      <c r="A78" s="5">
        <v>45057</v>
      </c>
      <c r="B78" s="7">
        <v>18</v>
      </c>
      <c r="E78" s="5">
        <v>45073</v>
      </c>
      <c r="F78" s="1">
        <v>32.857142857142854</v>
      </c>
      <c r="I78" s="5">
        <v>45074</v>
      </c>
      <c r="J78" s="1">
        <v>4.75</v>
      </c>
    </row>
    <row r="79" spans="1:10" x14ac:dyDescent="0.25">
      <c r="A79" s="5">
        <v>45058</v>
      </c>
      <c r="B79" s="7">
        <v>11</v>
      </c>
      <c r="E79" s="5">
        <v>45074</v>
      </c>
      <c r="F79" s="1">
        <v>36.799999999999997</v>
      </c>
      <c r="I79" s="5">
        <v>45075</v>
      </c>
      <c r="J79" s="1">
        <v>4</v>
      </c>
    </row>
    <row r="80" spans="1:10" x14ac:dyDescent="0.25">
      <c r="A80" s="5">
        <v>45059</v>
      </c>
      <c r="B80" s="7">
        <v>13</v>
      </c>
      <c r="E80" s="5">
        <v>45075</v>
      </c>
      <c r="F80" s="1">
        <v>32.866666666666667</v>
      </c>
      <c r="I80" s="5">
        <v>45076</v>
      </c>
      <c r="J80" s="1">
        <v>4</v>
      </c>
    </row>
    <row r="81" spans="1:10" x14ac:dyDescent="0.25">
      <c r="A81" s="5">
        <v>45060</v>
      </c>
      <c r="B81" s="7">
        <v>14</v>
      </c>
      <c r="E81" s="5">
        <v>45076</v>
      </c>
      <c r="F81" s="1">
        <v>32.375</v>
      </c>
      <c r="I81" s="5">
        <v>45077</v>
      </c>
      <c r="J81" s="1">
        <v>8.3333333333333339</v>
      </c>
    </row>
    <row r="82" spans="1:10" x14ac:dyDescent="0.25">
      <c r="A82" s="5">
        <v>45061</v>
      </c>
      <c r="B82" s="7">
        <v>7</v>
      </c>
      <c r="E82" s="5">
        <v>45077</v>
      </c>
      <c r="F82" s="1">
        <v>36</v>
      </c>
      <c r="I82" s="5">
        <v>45078</v>
      </c>
      <c r="J82" s="1">
        <v>4.8</v>
      </c>
    </row>
    <row r="83" spans="1:10" x14ac:dyDescent="0.25">
      <c r="A83" s="5">
        <v>45062</v>
      </c>
      <c r="B83" s="7">
        <v>21</v>
      </c>
      <c r="E83" s="5">
        <v>45078</v>
      </c>
      <c r="F83" s="1">
        <v>34.884615384615387</v>
      </c>
      <c r="I83" s="5">
        <v>45079</v>
      </c>
      <c r="J83" s="1">
        <v>5.333333333333333</v>
      </c>
    </row>
    <row r="84" spans="1:10" x14ac:dyDescent="0.25">
      <c r="A84" s="5">
        <v>45063</v>
      </c>
      <c r="B84" s="7">
        <v>16</v>
      </c>
      <c r="E84" s="5">
        <v>45079</v>
      </c>
      <c r="F84" s="1">
        <v>34.941176470588232</v>
      </c>
      <c r="I84" s="5">
        <v>45080</v>
      </c>
      <c r="J84" s="1">
        <v>6.666666666666667</v>
      </c>
    </row>
    <row r="85" spans="1:10" x14ac:dyDescent="0.25">
      <c r="A85" s="5">
        <v>45064</v>
      </c>
      <c r="B85" s="7">
        <v>15</v>
      </c>
      <c r="E85" s="5">
        <v>45080</v>
      </c>
      <c r="F85" s="1">
        <v>32.736842105263158</v>
      </c>
      <c r="I85" s="5">
        <v>45081</v>
      </c>
      <c r="J85" s="1">
        <v>4.5555555555555554</v>
      </c>
    </row>
    <row r="86" spans="1:10" x14ac:dyDescent="0.25">
      <c r="A86" s="5">
        <v>45065</v>
      </c>
      <c r="B86" s="7">
        <v>15</v>
      </c>
      <c r="E86" s="5">
        <v>45081</v>
      </c>
      <c r="F86" s="1">
        <v>34.411764705882355</v>
      </c>
      <c r="I86" s="5">
        <v>45082</v>
      </c>
      <c r="J86" s="1">
        <v>4.333333333333333</v>
      </c>
    </row>
    <row r="87" spans="1:10" x14ac:dyDescent="0.25">
      <c r="A87" s="5">
        <v>45066</v>
      </c>
      <c r="B87" s="7">
        <v>14</v>
      </c>
      <c r="E87" s="5">
        <v>45082</v>
      </c>
      <c r="F87" s="1">
        <v>34.388888888888886</v>
      </c>
      <c r="I87" s="5">
        <v>45083</v>
      </c>
      <c r="J87" s="1">
        <v>7.333333333333333</v>
      </c>
    </row>
    <row r="88" spans="1:10" x14ac:dyDescent="0.25">
      <c r="A88" s="5">
        <v>45067</v>
      </c>
      <c r="B88" s="7">
        <v>16</v>
      </c>
      <c r="E88" s="5">
        <v>45083</v>
      </c>
      <c r="F88" s="1">
        <v>33.294117647058826</v>
      </c>
      <c r="I88" s="5">
        <v>45084</v>
      </c>
      <c r="J88" s="1">
        <v>5.25</v>
      </c>
    </row>
    <row r="89" spans="1:10" x14ac:dyDescent="0.25">
      <c r="A89" s="5">
        <v>45068</v>
      </c>
      <c r="B89" s="7">
        <v>21</v>
      </c>
      <c r="E89" s="5">
        <v>45084</v>
      </c>
      <c r="F89" s="1">
        <v>35</v>
      </c>
      <c r="I89" s="5">
        <v>45085</v>
      </c>
      <c r="J89" s="1">
        <v>6.333333333333333</v>
      </c>
    </row>
    <row r="90" spans="1:10" x14ac:dyDescent="0.25">
      <c r="A90" s="5">
        <v>45069</v>
      </c>
      <c r="B90" s="7">
        <v>13</v>
      </c>
      <c r="E90" s="5">
        <v>45085</v>
      </c>
      <c r="F90" s="1">
        <v>36.736842105263158</v>
      </c>
      <c r="I90" s="5">
        <v>45086</v>
      </c>
      <c r="J90" s="1">
        <v>5.7142857142857144</v>
      </c>
    </row>
    <row r="91" spans="1:10" x14ac:dyDescent="0.25">
      <c r="A91" s="5">
        <v>45070</v>
      </c>
      <c r="B91" s="7">
        <v>11</v>
      </c>
      <c r="E91" s="5">
        <v>45086</v>
      </c>
      <c r="F91" s="1">
        <v>37.368421052631582</v>
      </c>
      <c r="I91" s="5">
        <v>45087</v>
      </c>
      <c r="J91" s="1">
        <v>5</v>
      </c>
    </row>
    <row r="92" spans="1:10" x14ac:dyDescent="0.25">
      <c r="A92" s="5">
        <v>45071</v>
      </c>
      <c r="B92" s="7">
        <v>16</v>
      </c>
      <c r="E92" s="5">
        <v>45087</v>
      </c>
      <c r="F92" s="1">
        <v>31.428571428571427</v>
      </c>
      <c r="I92" s="5">
        <v>45088</v>
      </c>
      <c r="J92" s="1">
        <v>6.166666666666667</v>
      </c>
    </row>
    <row r="93" spans="1:10" x14ac:dyDescent="0.25">
      <c r="A93" s="5">
        <v>45072</v>
      </c>
      <c r="B93" s="7">
        <v>11</v>
      </c>
      <c r="E93" s="5">
        <v>45088</v>
      </c>
      <c r="F93" s="1">
        <v>45.470588235294116</v>
      </c>
      <c r="I93" s="5">
        <v>45089</v>
      </c>
      <c r="J93" s="1">
        <v>3</v>
      </c>
    </row>
    <row r="94" spans="1:10" x14ac:dyDescent="0.25">
      <c r="A94" s="5">
        <v>45073</v>
      </c>
      <c r="B94" s="7">
        <v>14</v>
      </c>
      <c r="E94" s="5">
        <v>45089</v>
      </c>
      <c r="F94" s="1">
        <v>32.549999999999997</v>
      </c>
      <c r="I94" s="5">
        <v>45090</v>
      </c>
      <c r="J94" s="1">
        <v>4.5</v>
      </c>
    </row>
    <row r="95" spans="1:10" x14ac:dyDescent="0.25">
      <c r="A95" s="5">
        <v>45074</v>
      </c>
      <c r="B95" s="7">
        <v>10</v>
      </c>
      <c r="E95" s="5">
        <v>45090</v>
      </c>
      <c r="F95" s="1">
        <v>39.615384615384613</v>
      </c>
      <c r="I95" s="5">
        <v>45091</v>
      </c>
      <c r="J95" s="1">
        <v>4.666666666666667</v>
      </c>
    </row>
    <row r="96" spans="1:10" x14ac:dyDescent="0.25">
      <c r="A96" s="5">
        <v>45075</v>
      </c>
      <c r="B96" s="7">
        <v>15</v>
      </c>
      <c r="E96" s="5">
        <v>45091</v>
      </c>
      <c r="F96" s="1">
        <v>36</v>
      </c>
      <c r="I96" s="5">
        <v>45092</v>
      </c>
      <c r="J96" s="1">
        <v>9</v>
      </c>
    </row>
    <row r="97" spans="1:10" x14ac:dyDescent="0.25">
      <c r="A97" s="5">
        <v>45076</v>
      </c>
      <c r="B97" s="7">
        <v>24</v>
      </c>
      <c r="E97" s="5">
        <v>45092</v>
      </c>
      <c r="F97" s="1">
        <v>31.6</v>
      </c>
      <c r="I97" s="5">
        <v>45093</v>
      </c>
      <c r="J97" s="1">
        <v>1.5</v>
      </c>
    </row>
    <row r="98" spans="1:10" x14ac:dyDescent="0.25">
      <c r="A98" s="5">
        <v>45077</v>
      </c>
      <c r="B98" s="7">
        <v>11</v>
      </c>
      <c r="E98" s="5">
        <v>45093</v>
      </c>
      <c r="F98" s="1">
        <v>33.846153846153847</v>
      </c>
      <c r="I98" s="5">
        <v>45094</v>
      </c>
      <c r="J98" s="1">
        <v>6.8</v>
      </c>
    </row>
    <row r="99" spans="1:10" x14ac:dyDescent="0.25">
      <c r="A99" s="5">
        <v>45078</v>
      </c>
      <c r="B99" s="7">
        <v>26</v>
      </c>
      <c r="E99" s="5">
        <v>45094</v>
      </c>
      <c r="F99" s="1">
        <v>31.8</v>
      </c>
      <c r="I99" s="5">
        <v>45095</v>
      </c>
      <c r="J99" s="1">
        <v>4.625</v>
      </c>
    </row>
    <row r="100" spans="1:10" x14ac:dyDescent="0.25">
      <c r="A100" s="5">
        <v>45079</v>
      </c>
      <c r="B100" s="7">
        <v>17</v>
      </c>
      <c r="E100" s="5">
        <v>45095</v>
      </c>
      <c r="F100" s="1">
        <v>36</v>
      </c>
      <c r="I100" s="5">
        <v>45096</v>
      </c>
      <c r="J100" s="1">
        <v>4.333333333333333</v>
      </c>
    </row>
    <row r="101" spans="1:10" x14ac:dyDescent="0.25">
      <c r="A101" s="5">
        <v>45080</v>
      </c>
      <c r="B101" s="7">
        <v>19</v>
      </c>
      <c r="E101" s="5">
        <v>45096</v>
      </c>
      <c r="F101" s="1">
        <v>29.8</v>
      </c>
      <c r="I101" s="5">
        <v>45097</v>
      </c>
      <c r="J101" s="1">
        <v>1.3333333333333333</v>
      </c>
    </row>
    <row r="102" spans="1:10" x14ac:dyDescent="0.25">
      <c r="A102" s="5">
        <v>45081</v>
      </c>
      <c r="B102" s="7">
        <v>17</v>
      </c>
      <c r="E102" s="5">
        <v>45097</v>
      </c>
      <c r="F102" s="1">
        <v>41.307692307692307</v>
      </c>
      <c r="I102" s="5">
        <v>45098</v>
      </c>
      <c r="J102" s="1">
        <v>5</v>
      </c>
    </row>
    <row r="103" spans="1:10" x14ac:dyDescent="0.25">
      <c r="A103" s="5">
        <v>45082</v>
      </c>
      <c r="B103" s="7">
        <v>18</v>
      </c>
      <c r="E103" s="5">
        <v>45098</v>
      </c>
      <c r="F103" s="1">
        <v>29.764705882352942</v>
      </c>
      <c r="I103" s="5">
        <v>45099</v>
      </c>
      <c r="J103" s="1">
        <v>3.1666666666666665</v>
      </c>
    </row>
    <row r="104" spans="1:10" x14ac:dyDescent="0.25">
      <c r="A104" s="5">
        <v>45083</v>
      </c>
      <c r="B104" s="7">
        <v>17</v>
      </c>
      <c r="E104" s="5">
        <v>45099</v>
      </c>
      <c r="F104" s="1">
        <v>37.92307692307692</v>
      </c>
      <c r="I104" s="5">
        <v>45100</v>
      </c>
      <c r="J104" s="1">
        <v>7.5</v>
      </c>
    </row>
    <row r="105" spans="1:10" x14ac:dyDescent="0.25">
      <c r="A105" s="5">
        <v>45084</v>
      </c>
      <c r="B105" s="7">
        <v>17</v>
      </c>
      <c r="E105" s="5">
        <v>45100</v>
      </c>
      <c r="F105" s="1">
        <v>38.625</v>
      </c>
      <c r="I105" s="5">
        <v>45101</v>
      </c>
      <c r="J105" s="1">
        <v>4.2</v>
      </c>
    </row>
    <row r="106" spans="1:10" x14ac:dyDescent="0.25">
      <c r="A106" s="5">
        <v>45085</v>
      </c>
      <c r="B106" s="7">
        <v>19</v>
      </c>
      <c r="E106" s="5">
        <v>45101</v>
      </c>
      <c r="F106" s="1">
        <v>41.470588235294116</v>
      </c>
      <c r="I106" s="5">
        <v>45102</v>
      </c>
      <c r="J106" s="1">
        <v>4.625</v>
      </c>
    </row>
    <row r="107" spans="1:10" x14ac:dyDescent="0.25">
      <c r="A107" s="5">
        <v>45086</v>
      </c>
      <c r="B107" s="7">
        <v>19</v>
      </c>
      <c r="E107" s="5">
        <v>45102</v>
      </c>
      <c r="F107" s="1">
        <v>39.5</v>
      </c>
      <c r="I107" s="5">
        <v>45103</v>
      </c>
      <c r="J107" s="1">
        <v>9.6666666666666661</v>
      </c>
    </row>
    <row r="108" spans="1:10" x14ac:dyDescent="0.25">
      <c r="A108" s="5">
        <v>45087</v>
      </c>
      <c r="B108" s="7">
        <v>14</v>
      </c>
      <c r="E108" s="5">
        <v>45103</v>
      </c>
      <c r="F108" s="1">
        <v>29.736842105263158</v>
      </c>
      <c r="I108" s="5">
        <v>45104</v>
      </c>
      <c r="J108" s="1">
        <v>6.125</v>
      </c>
    </row>
    <row r="109" spans="1:10" x14ac:dyDescent="0.25">
      <c r="A109" s="5">
        <v>45088</v>
      </c>
      <c r="B109" s="7">
        <v>17</v>
      </c>
      <c r="E109" s="5">
        <v>45104</v>
      </c>
      <c r="F109" s="1">
        <v>37.75</v>
      </c>
      <c r="I109" s="5">
        <v>45105</v>
      </c>
      <c r="J109" s="1">
        <v>5.5555555555555554</v>
      </c>
    </row>
    <row r="110" spans="1:10" x14ac:dyDescent="0.25">
      <c r="A110" s="5">
        <v>45089</v>
      </c>
      <c r="B110" s="7">
        <v>20</v>
      </c>
      <c r="E110" s="5">
        <v>45105</v>
      </c>
      <c r="F110" s="1">
        <v>37.782608695652172</v>
      </c>
      <c r="I110" s="5">
        <v>45106</v>
      </c>
      <c r="J110" s="1">
        <v>6.333333333333333</v>
      </c>
    </row>
    <row r="111" spans="1:10" x14ac:dyDescent="0.25">
      <c r="A111" s="5">
        <v>45090</v>
      </c>
      <c r="B111" s="7">
        <v>13</v>
      </c>
      <c r="E111" s="5">
        <v>45106</v>
      </c>
      <c r="F111" s="1">
        <v>34.1875</v>
      </c>
      <c r="I111" s="5">
        <v>45107</v>
      </c>
      <c r="J111" s="1">
        <v>5.333333333333333</v>
      </c>
    </row>
    <row r="112" spans="1:10" x14ac:dyDescent="0.25">
      <c r="A112" s="5">
        <v>45091</v>
      </c>
      <c r="B112" s="7">
        <v>14</v>
      </c>
      <c r="E112" s="5">
        <v>45107</v>
      </c>
      <c r="F112" s="1">
        <v>36.166666666666664</v>
      </c>
      <c r="I112" s="5">
        <v>45108</v>
      </c>
      <c r="J112" s="1">
        <v>2</v>
      </c>
    </row>
    <row r="113" spans="1:10" x14ac:dyDescent="0.25">
      <c r="A113" s="5">
        <v>45092</v>
      </c>
      <c r="B113" s="7">
        <v>15</v>
      </c>
      <c r="E113" s="5">
        <v>45108</v>
      </c>
      <c r="F113" s="1">
        <v>38.200000000000003</v>
      </c>
      <c r="I113" s="5">
        <v>45109</v>
      </c>
      <c r="J113" s="1">
        <v>6.5</v>
      </c>
    </row>
    <row r="114" spans="1:10" x14ac:dyDescent="0.25">
      <c r="A114" s="5">
        <v>45093</v>
      </c>
      <c r="B114" s="7">
        <v>13</v>
      </c>
      <c r="E114" s="5">
        <v>45109</v>
      </c>
      <c r="F114" s="1">
        <v>32.444444444444443</v>
      </c>
      <c r="I114" s="5">
        <v>45110</v>
      </c>
      <c r="J114" s="1">
        <v>2.5</v>
      </c>
    </row>
    <row r="115" spans="1:10" x14ac:dyDescent="0.25">
      <c r="A115" s="5">
        <v>45094</v>
      </c>
      <c r="B115" s="7">
        <v>15</v>
      </c>
      <c r="E115" s="5">
        <v>45110</v>
      </c>
      <c r="F115" s="1">
        <v>37.875</v>
      </c>
      <c r="I115" s="5">
        <v>45111</v>
      </c>
      <c r="J115" s="1">
        <v>2</v>
      </c>
    </row>
    <row r="116" spans="1:10" x14ac:dyDescent="0.25">
      <c r="A116" s="5">
        <v>45095</v>
      </c>
      <c r="B116" s="7">
        <v>17</v>
      </c>
      <c r="E116" s="5">
        <v>45111</v>
      </c>
      <c r="F116" s="1">
        <v>34.125</v>
      </c>
      <c r="I116" s="5">
        <v>45112</v>
      </c>
      <c r="J116" s="1">
        <v>2</v>
      </c>
    </row>
    <row r="117" spans="1:10" x14ac:dyDescent="0.25">
      <c r="A117" s="5">
        <v>45096</v>
      </c>
      <c r="B117" s="7">
        <v>10</v>
      </c>
      <c r="E117" s="5">
        <v>45112</v>
      </c>
      <c r="F117" s="1">
        <v>24.5</v>
      </c>
      <c r="I117" s="5">
        <v>45113</v>
      </c>
      <c r="J117" s="1">
        <v>6</v>
      </c>
    </row>
    <row r="118" spans="1:10" x14ac:dyDescent="0.25">
      <c r="A118" s="5">
        <v>45097</v>
      </c>
      <c r="B118" s="7">
        <v>13</v>
      </c>
      <c r="E118" s="5">
        <v>45113</v>
      </c>
      <c r="F118" s="1">
        <v>34.666666666666664</v>
      </c>
      <c r="I118" s="5">
        <v>45114</v>
      </c>
      <c r="J118" s="1">
        <v>4.5714285714285712</v>
      </c>
    </row>
    <row r="119" spans="1:10" x14ac:dyDescent="0.25">
      <c r="A119" s="5">
        <v>45098</v>
      </c>
      <c r="B119" s="7">
        <v>17</v>
      </c>
      <c r="E119" s="5">
        <v>45114</v>
      </c>
      <c r="F119" s="1">
        <v>38.333333333333336</v>
      </c>
      <c r="I119" s="5">
        <v>45115</v>
      </c>
      <c r="J119" s="1">
        <v>4.333333333333333</v>
      </c>
    </row>
    <row r="120" spans="1:10" x14ac:dyDescent="0.25">
      <c r="A120" s="5">
        <v>45099</v>
      </c>
      <c r="B120" s="7">
        <v>26</v>
      </c>
      <c r="E120" s="5">
        <v>45115</v>
      </c>
      <c r="F120" s="1">
        <v>43.833333333333336</v>
      </c>
      <c r="I120" s="5">
        <v>45116</v>
      </c>
      <c r="J120" s="1">
        <v>7</v>
      </c>
    </row>
    <row r="121" spans="1:10" x14ac:dyDescent="0.25">
      <c r="A121" s="5">
        <v>45100</v>
      </c>
      <c r="B121" s="7">
        <v>8</v>
      </c>
      <c r="E121" s="5">
        <v>45116</v>
      </c>
      <c r="F121" s="1">
        <v>30.9375</v>
      </c>
      <c r="I121" s="5">
        <v>45117</v>
      </c>
      <c r="J121" s="1">
        <v>7.666666666666667</v>
      </c>
    </row>
    <row r="122" spans="1:10" x14ac:dyDescent="0.25">
      <c r="A122" s="5">
        <v>45101</v>
      </c>
      <c r="B122" s="7">
        <v>17</v>
      </c>
      <c r="E122" s="5">
        <v>45117</v>
      </c>
      <c r="F122" s="1">
        <v>34.941176470588232</v>
      </c>
      <c r="I122" s="5">
        <v>45118</v>
      </c>
      <c r="J122" s="1">
        <v>4.5</v>
      </c>
    </row>
    <row r="123" spans="1:10" x14ac:dyDescent="0.25">
      <c r="A123" s="5">
        <v>45102</v>
      </c>
      <c r="B123" s="7">
        <v>18</v>
      </c>
      <c r="E123" s="5">
        <v>45118</v>
      </c>
      <c r="F123" s="1">
        <v>30.294117647058822</v>
      </c>
      <c r="I123" s="5">
        <v>45119</v>
      </c>
      <c r="J123" s="1">
        <v>4</v>
      </c>
    </row>
    <row r="124" spans="1:10" x14ac:dyDescent="0.25">
      <c r="A124" s="5">
        <v>45103</v>
      </c>
      <c r="B124" s="7">
        <v>19</v>
      </c>
      <c r="E124" s="5">
        <v>45119</v>
      </c>
      <c r="F124" s="1">
        <v>32.428571428571431</v>
      </c>
      <c r="I124" s="5">
        <v>45120</v>
      </c>
      <c r="J124" s="1">
        <v>5.25</v>
      </c>
    </row>
    <row r="125" spans="1:10" x14ac:dyDescent="0.25">
      <c r="A125" s="5">
        <v>45104</v>
      </c>
      <c r="B125" s="7">
        <v>20</v>
      </c>
      <c r="E125" s="5">
        <v>45120</v>
      </c>
      <c r="F125" s="1">
        <v>31.1</v>
      </c>
      <c r="I125" s="5">
        <v>45121</v>
      </c>
      <c r="J125" s="1">
        <v>3.5</v>
      </c>
    </row>
    <row r="126" spans="1:10" x14ac:dyDescent="0.25">
      <c r="A126" s="5">
        <v>45105</v>
      </c>
      <c r="B126" s="7">
        <v>23</v>
      </c>
      <c r="E126" s="5">
        <v>45121</v>
      </c>
      <c r="F126" s="1">
        <v>34.333333333333336</v>
      </c>
      <c r="I126" s="5">
        <v>45122</v>
      </c>
      <c r="J126" s="1">
        <v>8.3333333333333339</v>
      </c>
    </row>
    <row r="127" spans="1:10" x14ac:dyDescent="0.25">
      <c r="A127" s="5">
        <v>45106</v>
      </c>
      <c r="B127" s="7">
        <v>16</v>
      </c>
      <c r="E127" s="5">
        <v>45122</v>
      </c>
      <c r="F127" s="1">
        <v>28.6</v>
      </c>
      <c r="I127" s="5">
        <v>45123</v>
      </c>
      <c r="J127" s="1">
        <v>4.5</v>
      </c>
    </row>
    <row r="128" spans="1:10" x14ac:dyDescent="0.25">
      <c r="A128" s="5">
        <v>45107</v>
      </c>
      <c r="B128" s="7">
        <v>12</v>
      </c>
      <c r="E128" s="5">
        <v>45123</v>
      </c>
      <c r="F128" s="1">
        <v>32</v>
      </c>
      <c r="I128" s="5">
        <v>45124</v>
      </c>
      <c r="J128" s="1">
        <v>5</v>
      </c>
    </row>
    <row r="129" spans="1:10" x14ac:dyDescent="0.25">
      <c r="A129" s="5">
        <v>45108</v>
      </c>
      <c r="B129" s="7">
        <v>15</v>
      </c>
      <c r="E129" s="5">
        <v>45124</v>
      </c>
      <c r="F129" s="1">
        <v>37.625</v>
      </c>
      <c r="I129" s="5">
        <v>45125</v>
      </c>
      <c r="J129" s="1">
        <v>1</v>
      </c>
    </row>
    <row r="130" spans="1:10" x14ac:dyDescent="0.25">
      <c r="A130" s="5">
        <v>45109</v>
      </c>
      <c r="B130" s="7">
        <v>9</v>
      </c>
      <c r="E130" s="5">
        <v>45125</v>
      </c>
      <c r="F130" s="1">
        <v>37.785714285714285</v>
      </c>
      <c r="I130" s="5">
        <v>45126</v>
      </c>
      <c r="J130" s="1">
        <v>5.6</v>
      </c>
    </row>
    <row r="131" spans="1:10" x14ac:dyDescent="0.25">
      <c r="A131" s="5">
        <v>45110</v>
      </c>
      <c r="B131" s="7">
        <v>16</v>
      </c>
      <c r="E131" s="5">
        <v>45126</v>
      </c>
      <c r="F131" s="1">
        <v>36.375</v>
      </c>
      <c r="I131" s="5">
        <v>45127</v>
      </c>
      <c r="J131" s="1">
        <v>3</v>
      </c>
    </row>
    <row r="132" spans="1:10" x14ac:dyDescent="0.25">
      <c r="A132" s="5">
        <v>45111</v>
      </c>
      <c r="B132" s="7">
        <v>16</v>
      </c>
      <c r="E132" s="5">
        <v>45127</v>
      </c>
      <c r="F132" s="1">
        <v>38.857142857142854</v>
      </c>
      <c r="I132" s="5">
        <v>45128</v>
      </c>
      <c r="J132" s="1">
        <v>5.666666666666667</v>
      </c>
    </row>
    <row r="133" spans="1:10" x14ac:dyDescent="0.25">
      <c r="A133" s="5">
        <v>45112</v>
      </c>
      <c r="B133" s="7">
        <v>8</v>
      </c>
      <c r="E133" s="5">
        <v>45128</v>
      </c>
      <c r="F133" s="1">
        <v>37</v>
      </c>
      <c r="I133" s="5">
        <v>45129</v>
      </c>
      <c r="J133" s="1">
        <v>5.5</v>
      </c>
    </row>
    <row r="134" spans="1:10" x14ac:dyDescent="0.25">
      <c r="A134" s="5">
        <v>45113</v>
      </c>
      <c r="B134" s="7">
        <v>12</v>
      </c>
      <c r="E134" s="5">
        <v>45129</v>
      </c>
      <c r="F134" s="1">
        <v>33</v>
      </c>
      <c r="I134" s="5">
        <v>45130</v>
      </c>
      <c r="J134" s="1">
        <v>5.2</v>
      </c>
    </row>
    <row r="135" spans="1:10" x14ac:dyDescent="0.25">
      <c r="A135" s="5">
        <v>45114</v>
      </c>
      <c r="B135" s="7">
        <v>15</v>
      </c>
      <c r="E135" s="5">
        <v>45130</v>
      </c>
      <c r="F135" s="1">
        <v>33.333333333333336</v>
      </c>
      <c r="I135" s="5">
        <v>45131</v>
      </c>
      <c r="J135" s="1">
        <v>4</v>
      </c>
    </row>
    <row r="136" spans="1:10" x14ac:dyDescent="0.25">
      <c r="A136" s="5">
        <v>45115</v>
      </c>
      <c r="B136" s="7">
        <v>12</v>
      </c>
      <c r="E136" s="5">
        <v>45131</v>
      </c>
      <c r="F136" s="1">
        <v>36.944444444444443</v>
      </c>
      <c r="I136" s="5">
        <v>45132</v>
      </c>
      <c r="J136" s="1">
        <v>4.75</v>
      </c>
    </row>
    <row r="137" spans="1:10" x14ac:dyDescent="0.25">
      <c r="A137" s="5">
        <v>45116</v>
      </c>
      <c r="B137" s="7">
        <v>16</v>
      </c>
      <c r="E137" s="5">
        <v>45132</v>
      </c>
      <c r="F137" s="1">
        <v>34.357142857142854</v>
      </c>
      <c r="I137" s="5">
        <v>45133</v>
      </c>
      <c r="J137" s="1">
        <v>4.75</v>
      </c>
    </row>
    <row r="138" spans="1:10" x14ac:dyDescent="0.25">
      <c r="A138" s="5">
        <v>45117</v>
      </c>
      <c r="B138" s="7">
        <v>17</v>
      </c>
      <c r="E138" s="5">
        <v>45133</v>
      </c>
      <c r="F138" s="1">
        <v>39</v>
      </c>
      <c r="I138" s="5">
        <v>45134</v>
      </c>
      <c r="J138" s="1">
        <v>6.5</v>
      </c>
    </row>
    <row r="139" spans="1:10" x14ac:dyDescent="0.25">
      <c r="A139" s="5">
        <v>45118</v>
      </c>
      <c r="B139" s="7">
        <v>17</v>
      </c>
      <c r="E139" s="5">
        <v>45134</v>
      </c>
      <c r="F139" s="1">
        <v>32</v>
      </c>
      <c r="I139" s="5">
        <v>45135</v>
      </c>
      <c r="J139" s="1">
        <v>5</v>
      </c>
    </row>
    <row r="140" spans="1:10" x14ac:dyDescent="0.25">
      <c r="A140" s="5">
        <v>45119</v>
      </c>
      <c r="B140" s="7">
        <v>14</v>
      </c>
      <c r="E140" s="5">
        <v>45135</v>
      </c>
      <c r="F140" s="1">
        <v>33.5</v>
      </c>
      <c r="I140" s="5">
        <v>45136</v>
      </c>
      <c r="J140" s="1">
        <v>6.333333333333333</v>
      </c>
    </row>
    <row r="141" spans="1:10" x14ac:dyDescent="0.25">
      <c r="A141" s="5">
        <v>45120</v>
      </c>
      <c r="B141" s="7">
        <v>20</v>
      </c>
      <c r="E141" s="5">
        <v>45136</v>
      </c>
      <c r="F141" s="1">
        <v>37.89473684210526</v>
      </c>
      <c r="I141" s="5">
        <v>45137</v>
      </c>
      <c r="J141" s="1">
        <v>6</v>
      </c>
    </row>
    <row r="142" spans="1:10" x14ac:dyDescent="0.25">
      <c r="A142" s="5">
        <v>45121</v>
      </c>
      <c r="B142" s="7">
        <v>15</v>
      </c>
      <c r="E142" s="5">
        <v>45137</v>
      </c>
      <c r="F142" s="1">
        <v>32</v>
      </c>
      <c r="I142" s="5">
        <v>45138</v>
      </c>
      <c r="J142" s="1">
        <v>8.1666666666666661</v>
      </c>
    </row>
    <row r="143" spans="1:10" x14ac:dyDescent="0.25">
      <c r="A143" s="5">
        <v>45122</v>
      </c>
      <c r="B143" s="7">
        <v>15</v>
      </c>
      <c r="E143" s="5">
        <v>45138</v>
      </c>
      <c r="F143" s="1">
        <v>35.133333333333333</v>
      </c>
      <c r="I143" s="5">
        <v>45139</v>
      </c>
      <c r="J143" s="1">
        <v>8</v>
      </c>
    </row>
    <row r="144" spans="1:10" x14ac:dyDescent="0.25">
      <c r="A144" s="5">
        <v>45123</v>
      </c>
      <c r="B144" s="7">
        <v>14</v>
      </c>
      <c r="E144" s="5">
        <v>45139</v>
      </c>
      <c r="F144" s="1">
        <v>35.714285714285715</v>
      </c>
      <c r="I144" s="5">
        <v>45140</v>
      </c>
      <c r="J144" s="1">
        <v>4</v>
      </c>
    </row>
    <row r="145" spans="1:10" x14ac:dyDescent="0.25">
      <c r="A145" s="5">
        <v>45124</v>
      </c>
      <c r="B145" s="7">
        <v>16</v>
      </c>
      <c r="E145" s="5">
        <v>45140</v>
      </c>
      <c r="F145" s="1">
        <v>38.533333333333331</v>
      </c>
      <c r="I145" s="5">
        <v>45141</v>
      </c>
      <c r="J145" s="1">
        <v>5.333333333333333</v>
      </c>
    </row>
    <row r="146" spans="1:10" x14ac:dyDescent="0.25">
      <c r="A146" s="5">
        <v>45125</v>
      </c>
      <c r="B146" s="7">
        <v>14</v>
      </c>
      <c r="E146" s="5">
        <v>45141</v>
      </c>
      <c r="F146" s="1">
        <v>38.941176470588232</v>
      </c>
      <c r="I146" s="5">
        <v>45142</v>
      </c>
      <c r="J146" s="1">
        <v>4.666666666666667</v>
      </c>
    </row>
    <row r="147" spans="1:10" x14ac:dyDescent="0.25">
      <c r="A147" s="5">
        <v>45126</v>
      </c>
      <c r="B147" s="7">
        <v>16</v>
      </c>
      <c r="E147" s="5">
        <v>45142</v>
      </c>
      <c r="F147" s="1">
        <v>35.666666666666664</v>
      </c>
      <c r="I147" s="5">
        <v>45143</v>
      </c>
      <c r="J147" s="1">
        <v>6.2</v>
      </c>
    </row>
    <row r="148" spans="1:10" x14ac:dyDescent="0.25">
      <c r="A148" s="5">
        <v>45127</v>
      </c>
      <c r="B148" s="7">
        <v>14</v>
      </c>
      <c r="E148" s="5">
        <v>45143</v>
      </c>
      <c r="F148" s="1">
        <v>39.478260869565219</v>
      </c>
      <c r="I148" s="5">
        <v>45144</v>
      </c>
      <c r="J148" s="1">
        <v>6.333333333333333</v>
      </c>
    </row>
    <row r="149" spans="1:10" x14ac:dyDescent="0.25">
      <c r="A149" s="5">
        <v>45128</v>
      </c>
      <c r="B149" s="7">
        <v>13</v>
      </c>
      <c r="E149" s="5">
        <v>45144</v>
      </c>
      <c r="F149" s="1">
        <v>25.1</v>
      </c>
      <c r="I149" s="5">
        <v>45145</v>
      </c>
      <c r="J149" s="1">
        <v>9.5</v>
      </c>
    </row>
    <row r="150" spans="1:10" x14ac:dyDescent="0.25">
      <c r="A150" s="5">
        <v>45129</v>
      </c>
      <c r="B150" s="7">
        <v>19</v>
      </c>
      <c r="E150" s="5">
        <v>45145</v>
      </c>
      <c r="F150" s="1">
        <v>43.666666666666664</v>
      </c>
      <c r="I150" s="5">
        <v>45146</v>
      </c>
      <c r="J150" s="1">
        <v>2</v>
      </c>
    </row>
    <row r="151" spans="1:10" x14ac:dyDescent="0.25">
      <c r="A151" s="5">
        <v>45130</v>
      </c>
      <c r="B151" s="7">
        <v>15</v>
      </c>
      <c r="E151" s="5">
        <v>45146</v>
      </c>
      <c r="F151" s="1">
        <v>38.090909090909093</v>
      </c>
      <c r="I151" s="5">
        <v>45147</v>
      </c>
      <c r="J151" s="1">
        <v>6.666666666666667</v>
      </c>
    </row>
    <row r="152" spans="1:10" x14ac:dyDescent="0.25">
      <c r="A152" s="5">
        <v>45131</v>
      </c>
      <c r="B152" s="7">
        <v>18</v>
      </c>
      <c r="E152" s="5">
        <v>45147</v>
      </c>
      <c r="F152" s="1">
        <v>28.25</v>
      </c>
      <c r="I152" s="5">
        <v>45148</v>
      </c>
      <c r="J152" s="1">
        <v>2.25</v>
      </c>
    </row>
    <row r="153" spans="1:10" x14ac:dyDescent="0.25">
      <c r="A153" s="5">
        <v>45132</v>
      </c>
      <c r="B153" s="7">
        <v>14</v>
      </c>
      <c r="E153" s="5">
        <v>45148</v>
      </c>
      <c r="F153" s="1">
        <v>36.291666666666664</v>
      </c>
      <c r="I153" s="5">
        <v>45149</v>
      </c>
      <c r="J153" s="1">
        <v>3</v>
      </c>
    </row>
    <row r="154" spans="1:10" x14ac:dyDescent="0.25">
      <c r="A154" s="5">
        <v>45133</v>
      </c>
      <c r="B154" s="7">
        <v>16</v>
      </c>
      <c r="E154" s="5">
        <v>45149</v>
      </c>
      <c r="F154" s="1">
        <v>31.875</v>
      </c>
      <c r="I154" s="5">
        <v>45150</v>
      </c>
      <c r="J154" s="1">
        <v>4.7142857142857144</v>
      </c>
    </row>
    <row r="155" spans="1:10" x14ac:dyDescent="0.25">
      <c r="A155" s="5">
        <v>45134</v>
      </c>
      <c r="B155" s="7">
        <v>13</v>
      </c>
      <c r="E155" s="5">
        <v>45150</v>
      </c>
      <c r="F155" s="1">
        <v>32.333333333333336</v>
      </c>
      <c r="I155" s="5">
        <v>45151</v>
      </c>
      <c r="J155" s="1">
        <v>10</v>
      </c>
    </row>
    <row r="156" spans="1:10" x14ac:dyDescent="0.25">
      <c r="A156" s="5">
        <v>45135</v>
      </c>
      <c r="B156" s="7">
        <v>12</v>
      </c>
      <c r="E156" s="5">
        <v>45151</v>
      </c>
      <c r="F156" s="1">
        <v>36.3125</v>
      </c>
      <c r="I156" s="5">
        <v>45152</v>
      </c>
      <c r="J156" s="1">
        <v>5.666666666666667</v>
      </c>
    </row>
    <row r="157" spans="1:10" x14ac:dyDescent="0.25">
      <c r="A157" s="5">
        <v>45136</v>
      </c>
      <c r="B157" s="7">
        <v>19</v>
      </c>
      <c r="E157" s="5">
        <v>45152</v>
      </c>
      <c r="F157" s="1">
        <v>41.133333333333333</v>
      </c>
      <c r="I157" s="5">
        <v>45153</v>
      </c>
      <c r="J157" s="1">
        <v>5</v>
      </c>
    </row>
    <row r="158" spans="1:10" x14ac:dyDescent="0.25">
      <c r="A158" s="5">
        <v>45137</v>
      </c>
      <c r="B158" s="7">
        <v>19</v>
      </c>
      <c r="E158" s="5">
        <v>45153</v>
      </c>
      <c r="F158" s="1">
        <v>32.071428571428569</v>
      </c>
      <c r="I158" s="5">
        <v>45154</v>
      </c>
      <c r="J158" s="1">
        <v>3</v>
      </c>
    </row>
    <row r="159" spans="1:10" x14ac:dyDescent="0.25">
      <c r="A159" s="5">
        <v>45138</v>
      </c>
      <c r="B159" s="7">
        <v>15</v>
      </c>
      <c r="E159" s="5">
        <v>45154</v>
      </c>
      <c r="F159" s="1">
        <v>34.222222222222221</v>
      </c>
      <c r="I159" s="5">
        <v>45155</v>
      </c>
      <c r="J159" s="1">
        <v>5.333333333333333</v>
      </c>
    </row>
    <row r="160" spans="1:10" x14ac:dyDescent="0.25">
      <c r="A160" s="5">
        <v>45139</v>
      </c>
      <c r="B160" s="7">
        <v>14</v>
      </c>
      <c r="E160" s="5">
        <v>45155</v>
      </c>
      <c r="F160" s="1">
        <v>43.666666666666664</v>
      </c>
      <c r="I160" s="5">
        <v>45156</v>
      </c>
      <c r="J160" s="1">
        <v>5.833333333333333</v>
      </c>
    </row>
    <row r="161" spans="1:10" x14ac:dyDescent="0.25">
      <c r="A161" s="5">
        <v>45140</v>
      </c>
      <c r="B161" s="7">
        <v>15</v>
      </c>
      <c r="E161" s="5">
        <v>45156</v>
      </c>
      <c r="F161" s="1">
        <v>38.5</v>
      </c>
      <c r="I161" s="5">
        <v>45157</v>
      </c>
      <c r="J161" s="1">
        <v>5.8</v>
      </c>
    </row>
    <row r="162" spans="1:10" x14ac:dyDescent="0.25">
      <c r="A162" s="5">
        <v>45141</v>
      </c>
      <c r="B162" s="7">
        <v>17</v>
      </c>
      <c r="E162" s="5">
        <v>45157</v>
      </c>
      <c r="F162" s="1">
        <v>32.6875</v>
      </c>
      <c r="I162" s="5">
        <v>45158</v>
      </c>
      <c r="J162" s="1">
        <v>5.2</v>
      </c>
    </row>
    <row r="163" spans="1:10" x14ac:dyDescent="0.25">
      <c r="A163" s="5">
        <v>45142</v>
      </c>
      <c r="B163" s="7">
        <v>12</v>
      </c>
      <c r="E163" s="5">
        <v>45158</v>
      </c>
      <c r="F163" s="1">
        <v>41.045454545454547</v>
      </c>
      <c r="I163" s="5">
        <v>45159</v>
      </c>
      <c r="J163" s="1">
        <v>4.5</v>
      </c>
    </row>
    <row r="164" spans="1:10" x14ac:dyDescent="0.25">
      <c r="A164" s="5">
        <v>45143</v>
      </c>
      <c r="B164" s="7">
        <v>23</v>
      </c>
      <c r="E164" s="5">
        <v>45159</v>
      </c>
      <c r="F164" s="1">
        <v>36.6875</v>
      </c>
      <c r="I164" s="5">
        <v>45160</v>
      </c>
      <c r="J164" s="1">
        <v>6</v>
      </c>
    </row>
    <row r="165" spans="1:10" x14ac:dyDescent="0.25">
      <c r="A165" s="5">
        <v>45144</v>
      </c>
      <c r="B165" s="7">
        <v>10</v>
      </c>
      <c r="E165" s="5">
        <v>45160</v>
      </c>
      <c r="F165" s="1">
        <v>38.5</v>
      </c>
      <c r="I165" s="5">
        <v>45161</v>
      </c>
      <c r="J165" s="1">
        <v>6.5</v>
      </c>
    </row>
    <row r="166" spans="1:10" x14ac:dyDescent="0.25">
      <c r="A166" s="5">
        <v>45145</v>
      </c>
      <c r="B166" s="7">
        <v>18</v>
      </c>
      <c r="E166" s="5">
        <v>45161</v>
      </c>
      <c r="F166" s="1">
        <v>33.777777777777779</v>
      </c>
      <c r="I166" s="5">
        <v>45162</v>
      </c>
      <c r="J166" s="1">
        <v>4.166666666666667</v>
      </c>
    </row>
    <row r="167" spans="1:10" x14ac:dyDescent="0.25">
      <c r="A167" s="5">
        <v>45146</v>
      </c>
      <c r="B167" s="7">
        <v>11</v>
      </c>
      <c r="E167" s="5">
        <v>45162</v>
      </c>
      <c r="F167" s="1">
        <v>41.692307692307693</v>
      </c>
      <c r="I167" s="5">
        <v>45163</v>
      </c>
      <c r="J167" s="1">
        <v>3.6666666666666665</v>
      </c>
    </row>
    <row r="168" spans="1:10" x14ac:dyDescent="0.25">
      <c r="A168" s="5">
        <v>45147</v>
      </c>
      <c r="B168" s="7">
        <v>12</v>
      </c>
      <c r="E168" s="5">
        <v>45163</v>
      </c>
      <c r="F168" s="1">
        <v>31.7</v>
      </c>
      <c r="I168" s="5">
        <v>45164</v>
      </c>
      <c r="J168" s="1">
        <v>3.5</v>
      </c>
    </row>
    <row r="169" spans="1:10" x14ac:dyDescent="0.25">
      <c r="A169" s="5">
        <v>45148</v>
      </c>
      <c r="B169" s="7">
        <v>24</v>
      </c>
      <c r="E169" s="5">
        <v>45164</v>
      </c>
      <c r="F169" s="1">
        <v>36.470588235294116</v>
      </c>
      <c r="I169" s="5">
        <v>45165</v>
      </c>
      <c r="J169" s="1">
        <v>6</v>
      </c>
    </row>
    <row r="170" spans="1:10" x14ac:dyDescent="0.25">
      <c r="A170" s="5">
        <v>45149</v>
      </c>
      <c r="B170" s="7">
        <v>16</v>
      </c>
      <c r="E170" s="5">
        <v>45165</v>
      </c>
      <c r="F170" s="1">
        <v>37.210526315789473</v>
      </c>
      <c r="I170" s="5">
        <v>45166</v>
      </c>
      <c r="J170" s="1">
        <v>5.1428571428571432</v>
      </c>
    </row>
    <row r="171" spans="1:10" x14ac:dyDescent="0.25">
      <c r="A171" s="5">
        <v>45150</v>
      </c>
      <c r="B171" s="7">
        <v>21</v>
      </c>
      <c r="E171" s="5">
        <v>45166</v>
      </c>
      <c r="F171" s="1">
        <v>36.294117647058826</v>
      </c>
      <c r="I171" s="5">
        <v>45167</v>
      </c>
      <c r="J171" s="1">
        <v>4</v>
      </c>
    </row>
    <row r="172" spans="1:10" x14ac:dyDescent="0.25">
      <c r="A172" s="5">
        <v>45151</v>
      </c>
      <c r="B172" s="7">
        <v>16</v>
      </c>
      <c r="E172" s="5">
        <v>45167</v>
      </c>
      <c r="F172" s="1">
        <v>32</v>
      </c>
      <c r="I172" s="5">
        <v>45168</v>
      </c>
      <c r="J172" s="1">
        <v>3.5</v>
      </c>
    </row>
    <row r="173" spans="1:10" x14ac:dyDescent="0.25">
      <c r="A173" s="5">
        <v>45152</v>
      </c>
      <c r="B173" s="7">
        <v>15</v>
      </c>
      <c r="E173" s="5">
        <v>45168</v>
      </c>
      <c r="F173" s="1">
        <v>41.444444444444443</v>
      </c>
      <c r="I173" s="5">
        <v>45169</v>
      </c>
      <c r="J173" s="1">
        <v>5</v>
      </c>
    </row>
    <row r="174" spans="1:10" x14ac:dyDescent="0.25">
      <c r="A174" s="5">
        <v>45153</v>
      </c>
      <c r="B174" s="7">
        <v>14</v>
      </c>
      <c r="E174" s="5">
        <v>45169</v>
      </c>
      <c r="F174" s="1">
        <v>40.444444444444443</v>
      </c>
      <c r="I174" s="5">
        <v>45170</v>
      </c>
      <c r="J174" s="1">
        <v>3.5</v>
      </c>
    </row>
    <row r="175" spans="1:10" x14ac:dyDescent="0.25">
      <c r="A175" s="5">
        <v>45154</v>
      </c>
      <c r="B175" s="7">
        <v>18</v>
      </c>
      <c r="E175" s="5">
        <v>45170</v>
      </c>
      <c r="F175" s="1">
        <v>29.833333333333332</v>
      </c>
      <c r="I175" s="5">
        <v>45171</v>
      </c>
      <c r="J175" s="1">
        <v>5.8</v>
      </c>
    </row>
    <row r="176" spans="1:10" x14ac:dyDescent="0.25">
      <c r="A176" s="5">
        <v>45155</v>
      </c>
      <c r="B176" s="7">
        <v>12</v>
      </c>
      <c r="E176" s="5">
        <v>45171</v>
      </c>
      <c r="F176" s="1">
        <v>34.777777777777779</v>
      </c>
      <c r="I176" s="5">
        <v>45172</v>
      </c>
      <c r="J176" s="1">
        <v>3.6</v>
      </c>
    </row>
    <row r="177" spans="1:10" x14ac:dyDescent="0.25">
      <c r="A177" s="5">
        <v>45156</v>
      </c>
      <c r="B177" s="7">
        <v>18</v>
      </c>
      <c r="E177" s="5">
        <v>45172</v>
      </c>
      <c r="F177" s="1">
        <v>35</v>
      </c>
      <c r="I177" s="5">
        <v>45173</v>
      </c>
      <c r="J177" s="1">
        <v>7.25</v>
      </c>
    </row>
    <row r="178" spans="1:10" x14ac:dyDescent="0.25">
      <c r="A178" s="5">
        <v>45157</v>
      </c>
      <c r="B178" s="7">
        <v>16</v>
      </c>
      <c r="E178" s="5">
        <v>45173</v>
      </c>
      <c r="F178" s="1">
        <v>34.06666666666667</v>
      </c>
      <c r="I178" s="5">
        <v>45174</v>
      </c>
      <c r="J178" s="1">
        <v>4</v>
      </c>
    </row>
    <row r="179" spans="1:10" x14ac:dyDescent="0.25">
      <c r="A179" s="5">
        <v>45158</v>
      </c>
      <c r="B179" s="7">
        <v>22</v>
      </c>
      <c r="E179" s="5">
        <v>45174</v>
      </c>
      <c r="F179" s="1">
        <v>34.846153846153847</v>
      </c>
      <c r="I179" s="5">
        <v>45175</v>
      </c>
      <c r="J179" s="1">
        <v>6.2</v>
      </c>
    </row>
    <row r="180" spans="1:10" x14ac:dyDescent="0.25">
      <c r="A180" s="5">
        <v>45159</v>
      </c>
      <c r="B180" s="7">
        <v>16</v>
      </c>
      <c r="E180" s="5">
        <v>45175</v>
      </c>
      <c r="F180" s="1">
        <v>36.81818181818182</v>
      </c>
      <c r="I180" s="5">
        <v>45176</v>
      </c>
      <c r="J180" s="1">
        <v>6.5</v>
      </c>
    </row>
    <row r="181" spans="1:10" x14ac:dyDescent="0.25">
      <c r="A181" s="5">
        <v>45160</v>
      </c>
      <c r="B181" s="7">
        <v>10</v>
      </c>
      <c r="E181" s="5">
        <v>45176</v>
      </c>
      <c r="F181" s="1">
        <v>34.5</v>
      </c>
      <c r="I181" s="5">
        <v>45177</v>
      </c>
      <c r="J181" s="1">
        <v>6</v>
      </c>
    </row>
    <row r="182" spans="1:10" x14ac:dyDescent="0.25">
      <c r="A182" s="5">
        <v>45161</v>
      </c>
      <c r="B182" s="7">
        <v>18</v>
      </c>
      <c r="E182" s="5">
        <v>45177</v>
      </c>
      <c r="F182" s="1">
        <v>32.882352941176471</v>
      </c>
      <c r="I182" s="5">
        <v>45178</v>
      </c>
      <c r="J182" s="1">
        <v>1.5</v>
      </c>
    </row>
    <row r="183" spans="1:10" x14ac:dyDescent="0.25">
      <c r="A183" s="5">
        <v>45162</v>
      </c>
      <c r="B183" s="7">
        <v>13</v>
      </c>
      <c r="E183" s="5">
        <v>45178</v>
      </c>
      <c r="F183" s="1">
        <v>43.466666666666669</v>
      </c>
      <c r="I183" s="5">
        <v>45179</v>
      </c>
      <c r="J183" s="1">
        <v>2.5</v>
      </c>
    </row>
    <row r="184" spans="1:10" x14ac:dyDescent="0.25">
      <c r="A184" s="5">
        <v>45163</v>
      </c>
      <c r="B184" s="7">
        <v>20</v>
      </c>
      <c r="E184" s="5">
        <v>45179</v>
      </c>
      <c r="F184" s="1">
        <v>28.375</v>
      </c>
      <c r="I184" s="5">
        <v>45180</v>
      </c>
      <c r="J184" s="1">
        <v>7.25</v>
      </c>
    </row>
    <row r="185" spans="1:10" x14ac:dyDescent="0.25">
      <c r="A185" s="5">
        <v>45164</v>
      </c>
      <c r="B185" s="7">
        <v>17</v>
      </c>
      <c r="E185" s="5">
        <v>45180</v>
      </c>
      <c r="F185" s="1">
        <v>34.777777777777779</v>
      </c>
      <c r="I185" s="5">
        <v>45181</v>
      </c>
      <c r="J185" s="1">
        <v>1.5</v>
      </c>
    </row>
    <row r="186" spans="1:10" x14ac:dyDescent="0.25">
      <c r="A186" s="5">
        <v>45165</v>
      </c>
      <c r="B186" s="7">
        <v>19</v>
      </c>
      <c r="E186" s="5">
        <v>45181</v>
      </c>
      <c r="F186" s="1">
        <v>35.200000000000003</v>
      </c>
      <c r="I186" s="5">
        <v>45182</v>
      </c>
      <c r="J186" s="1">
        <v>5</v>
      </c>
    </row>
    <row r="187" spans="1:10" x14ac:dyDescent="0.25">
      <c r="A187" s="5">
        <v>45166</v>
      </c>
      <c r="B187" s="7">
        <v>17</v>
      </c>
      <c r="E187" s="5">
        <v>45182</v>
      </c>
      <c r="F187" s="1">
        <v>32</v>
      </c>
      <c r="I187" s="5">
        <v>45183</v>
      </c>
      <c r="J187" s="1">
        <v>6.5</v>
      </c>
    </row>
    <row r="188" spans="1:10" x14ac:dyDescent="0.25">
      <c r="A188" s="5">
        <v>45167</v>
      </c>
      <c r="B188" s="7">
        <v>22</v>
      </c>
      <c r="E188" s="5">
        <v>45183</v>
      </c>
      <c r="F188" s="1">
        <v>37.615384615384613</v>
      </c>
      <c r="I188" s="5">
        <v>45184</v>
      </c>
      <c r="J188" s="1">
        <v>4.1111111111111107</v>
      </c>
    </row>
    <row r="189" spans="1:10" x14ac:dyDescent="0.25">
      <c r="A189" s="5">
        <v>45168</v>
      </c>
      <c r="B189" s="7">
        <v>9</v>
      </c>
      <c r="E189" s="5">
        <v>45184</v>
      </c>
      <c r="F189" s="1">
        <v>37.384615384615387</v>
      </c>
      <c r="I189" s="5">
        <v>45185</v>
      </c>
      <c r="J189" s="1">
        <v>6.6</v>
      </c>
    </row>
    <row r="190" spans="1:10" x14ac:dyDescent="0.25">
      <c r="A190" s="5">
        <v>45169</v>
      </c>
      <c r="B190" s="7">
        <v>9</v>
      </c>
      <c r="E190" s="5">
        <v>45185</v>
      </c>
      <c r="F190" s="1">
        <v>33.954545454545453</v>
      </c>
      <c r="I190" s="5">
        <v>45186</v>
      </c>
      <c r="J190" s="1">
        <v>5.2</v>
      </c>
    </row>
    <row r="191" spans="1:10" x14ac:dyDescent="0.25">
      <c r="A191" s="5">
        <v>45170</v>
      </c>
      <c r="B191" s="7">
        <v>12</v>
      </c>
      <c r="E191" s="5">
        <v>45186</v>
      </c>
      <c r="F191" s="1">
        <v>32.5</v>
      </c>
      <c r="I191" s="5">
        <v>45187</v>
      </c>
      <c r="J191" s="1">
        <v>5.5</v>
      </c>
    </row>
    <row r="192" spans="1:10" x14ac:dyDescent="0.25">
      <c r="A192" s="5">
        <v>45171</v>
      </c>
      <c r="B192" s="7">
        <v>18</v>
      </c>
      <c r="E192" s="5">
        <v>45187</v>
      </c>
      <c r="F192" s="1">
        <v>37.25</v>
      </c>
      <c r="I192" s="5">
        <v>45188</v>
      </c>
      <c r="J192" s="1">
        <v>3.3333333333333335</v>
      </c>
    </row>
    <row r="193" spans="1:10" x14ac:dyDescent="0.25">
      <c r="A193" s="5">
        <v>45172</v>
      </c>
      <c r="B193" s="7">
        <v>17</v>
      </c>
      <c r="E193" s="5">
        <v>45188</v>
      </c>
      <c r="F193" s="1">
        <v>34.047619047619051</v>
      </c>
      <c r="I193" s="5">
        <v>45189</v>
      </c>
      <c r="J193" s="1">
        <v>5</v>
      </c>
    </row>
    <row r="194" spans="1:10" x14ac:dyDescent="0.25">
      <c r="A194" s="5">
        <v>45173</v>
      </c>
      <c r="B194" s="7">
        <v>15</v>
      </c>
      <c r="E194" s="5">
        <v>45189</v>
      </c>
      <c r="F194" s="1">
        <v>34.583333333333336</v>
      </c>
      <c r="I194" s="5">
        <v>45190</v>
      </c>
      <c r="J194" s="1">
        <v>6.5</v>
      </c>
    </row>
    <row r="195" spans="1:10" x14ac:dyDescent="0.25">
      <c r="A195" s="5">
        <v>45174</v>
      </c>
      <c r="B195" s="7">
        <v>13</v>
      </c>
      <c r="E195" s="5">
        <v>45190</v>
      </c>
      <c r="F195" s="1">
        <v>31</v>
      </c>
      <c r="I195" s="5">
        <v>45191</v>
      </c>
      <c r="J195" s="1">
        <v>3</v>
      </c>
    </row>
    <row r="196" spans="1:10" x14ac:dyDescent="0.25">
      <c r="A196" s="5">
        <v>45175</v>
      </c>
      <c r="B196" s="7">
        <v>11</v>
      </c>
      <c r="E196" s="5">
        <v>45191</v>
      </c>
      <c r="F196" s="1">
        <v>33.347826086956523</v>
      </c>
      <c r="I196" s="5">
        <v>45192</v>
      </c>
      <c r="J196" s="1">
        <v>5.333333333333333</v>
      </c>
    </row>
    <row r="197" spans="1:10" x14ac:dyDescent="0.25">
      <c r="A197" s="5">
        <v>45176</v>
      </c>
      <c r="B197" s="7">
        <v>14</v>
      </c>
      <c r="E197" s="5">
        <v>45192</v>
      </c>
      <c r="F197" s="1">
        <v>33.799999999999997</v>
      </c>
      <c r="I197" s="5">
        <v>45193</v>
      </c>
      <c r="J197" s="1">
        <v>7.333333333333333</v>
      </c>
    </row>
    <row r="198" spans="1:10" x14ac:dyDescent="0.25">
      <c r="A198" s="5">
        <v>45177</v>
      </c>
      <c r="B198" s="7">
        <v>17</v>
      </c>
      <c r="E198" s="5">
        <v>45193</v>
      </c>
      <c r="F198" s="1">
        <v>32.466666666666669</v>
      </c>
      <c r="I198" s="5">
        <v>45194</v>
      </c>
      <c r="J198" s="1">
        <v>5.6</v>
      </c>
    </row>
    <row r="199" spans="1:10" x14ac:dyDescent="0.25">
      <c r="A199" s="5">
        <v>45178</v>
      </c>
      <c r="B199" s="7">
        <v>15</v>
      </c>
      <c r="E199" s="5">
        <v>45194</v>
      </c>
      <c r="F199" s="1">
        <v>36.642857142857146</v>
      </c>
      <c r="I199" s="5">
        <v>45195</v>
      </c>
      <c r="J199" s="1">
        <v>4.4000000000000004</v>
      </c>
    </row>
    <row r="200" spans="1:10" x14ac:dyDescent="0.25">
      <c r="A200" s="5">
        <v>45179</v>
      </c>
      <c r="B200" s="7">
        <v>16</v>
      </c>
      <c r="E200" s="5">
        <v>45195</v>
      </c>
      <c r="F200" s="1">
        <v>32.631578947368418</v>
      </c>
      <c r="I200" s="5">
        <v>45196</v>
      </c>
      <c r="J200" s="1">
        <v>4</v>
      </c>
    </row>
    <row r="201" spans="1:10" x14ac:dyDescent="0.25">
      <c r="A201" s="5">
        <v>45180</v>
      </c>
      <c r="B201" s="7">
        <v>9</v>
      </c>
      <c r="E201" s="5">
        <v>45196</v>
      </c>
      <c r="F201" s="1">
        <v>32.176470588235297</v>
      </c>
      <c r="I201" s="5">
        <v>45197</v>
      </c>
      <c r="J201" s="1">
        <v>3</v>
      </c>
    </row>
    <row r="202" spans="1:10" x14ac:dyDescent="0.25">
      <c r="A202" s="5">
        <v>45181</v>
      </c>
      <c r="B202" s="7">
        <v>10</v>
      </c>
      <c r="E202" s="5">
        <v>45197</v>
      </c>
      <c r="F202" s="1">
        <v>33.5</v>
      </c>
      <c r="I202" s="5">
        <v>45198</v>
      </c>
      <c r="J202" s="1">
        <v>5.666666666666667</v>
      </c>
    </row>
    <row r="203" spans="1:10" x14ac:dyDescent="0.25">
      <c r="A203" s="5">
        <v>45182</v>
      </c>
      <c r="B203" s="7">
        <v>12</v>
      </c>
      <c r="E203" s="5">
        <v>45198</v>
      </c>
      <c r="F203" s="1">
        <v>33.200000000000003</v>
      </c>
      <c r="I203" s="5">
        <v>45199</v>
      </c>
      <c r="J203" s="1">
        <v>5.8571428571428568</v>
      </c>
    </row>
    <row r="204" spans="1:10" x14ac:dyDescent="0.25">
      <c r="A204" s="5">
        <v>45183</v>
      </c>
      <c r="B204" s="7">
        <v>13</v>
      </c>
      <c r="E204" s="5">
        <v>45199</v>
      </c>
      <c r="F204" s="1">
        <v>35.89473684210526</v>
      </c>
      <c r="I204" s="5">
        <v>45200</v>
      </c>
      <c r="J204" s="1">
        <v>4.8</v>
      </c>
    </row>
    <row r="205" spans="1:10" x14ac:dyDescent="0.25">
      <c r="A205" s="5">
        <v>45184</v>
      </c>
      <c r="B205" s="7">
        <v>26</v>
      </c>
      <c r="E205" s="5">
        <v>45200</v>
      </c>
      <c r="F205" s="1">
        <v>36.4</v>
      </c>
      <c r="I205" s="5">
        <v>45201</v>
      </c>
      <c r="J205" s="1">
        <v>3.8</v>
      </c>
    </row>
    <row r="206" spans="1:10" x14ac:dyDescent="0.25">
      <c r="A206" s="5">
        <v>45185</v>
      </c>
      <c r="B206" s="7">
        <v>22</v>
      </c>
      <c r="E206" s="5">
        <v>45201</v>
      </c>
      <c r="F206" s="1">
        <v>33.357142857142854</v>
      </c>
      <c r="I206" s="5">
        <v>45202</v>
      </c>
      <c r="J206" s="1">
        <v>2.5</v>
      </c>
    </row>
    <row r="207" spans="1:10" x14ac:dyDescent="0.25">
      <c r="A207" s="5">
        <v>45186</v>
      </c>
      <c r="B207" s="7">
        <v>16</v>
      </c>
      <c r="E207" s="5">
        <v>45202</v>
      </c>
      <c r="F207" s="1">
        <v>38.200000000000003</v>
      </c>
      <c r="I207" s="5">
        <v>45203</v>
      </c>
      <c r="J207" s="1">
        <v>3.75</v>
      </c>
    </row>
    <row r="208" spans="1:10" x14ac:dyDescent="0.25">
      <c r="A208" s="5">
        <v>45187</v>
      </c>
      <c r="B208" s="7">
        <v>12</v>
      </c>
      <c r="E208" s="5">
        <v>45203</v>
      </c>
      <c r="F208" s="1">
        <v>37.611111111111114</v>
      </c>
      <c r="I208" s="5">
        <v>45204</v>
      </c>
      <c r="J208" s="1">
        <v>5.333333333333333</v>
      </c>
    </row>
    <row r="209" spans="1:10" x14ac:dyDescent="0.25">
      <c r="A209" s="5">
        <v>45188</v>
      </c>
      <c r="B209" s="7">
        <v>21</v>
      </c>
      <c r="E209" s="5">
        <v>45204</v>
      </c>
      <c r="F209" s="1">
        <v>29.210526315789473</v>
      </c>
      <c r="I209" s="5">
        <v>45205</v>
      </c>
      <c r="J209" s="1">
        <v>5.6</v>
      </c>
    </row>
    <row r="210" spans="1:10" x14ac:dyDescent="0.25">
      <c r="A210" s="5">
        <v>45189</v>
      </c>
      <c r="B210" s="7">
        <v>12</v>
      </c>
      <c r="E210" s="5">
        <v>45205</v>
      </c>
      <c r="F210" s="1">
        <v>37.266666666666666</v>
      </c>
      <c r="I210" s="5">
        <v>45206</v>
      </c>
      <c r="J210" s="1">
        <v>8.4</v>
      </c>
    </row>
    <row r="211" spans="1:10" x14ac:dyDescent="0.25">
      <c r="A211" s="5">
        <v>45190</v>
      </c>
      <c r="B211" s="7">
        <v>15</v>
      </c>
      <c r="E211" s="5">
        <v>45206</v>
      </c>
      <c r="F211" s="1">
        <v>34.133333333333333</v>
      </c>
      <c r="I211" s="5">
        <v>45207</v>
      </c>
      <c r="J211" s="1">
        <v>3</v>
      </c>
    </row>
    <row r="212" spans="1:10" x14ac:dyDescent="0.25">
      <c r="A212" s="5">
        <v>45191</v>
      </c>
      <c r="B212" s="7">
        <v>23</v>
      </c>
      <c r="E212" s="5">
        <v>45207</v>
      </c>
      <c r="F212" s="1">
        <v>38.6</v>
      </c>
      <c r="I212" s="5">
        <v>45208</v>
      </c>
      <c r="J212" s="1">
        <v>5</v>
      </c>
    </row>
    <row r="213" spans="1:10" x14ac:dyDescent="0.25">
      <c r="A213" s="5">
        <v>45192</v>
      </c>
      <c r="B213" s="7">
        <v>15</v>
      </c>
      <c r="E213" s="5">
        <v>45208</v>
      </c>
      <c r="F213" s="1">
        <v>36.05263157894737</v>
      </c>
      <c r="I213" s="5">
        <v>45209</v>
      </c>
      <c r="J213" s="1">
        <v>7</v>
      </c>
    </row>
    <row r="214" spans="1:10" x14ac:dyDescent="0.25">
      <c r="A214" s="5">
        <v>45193</v>
      </c>
      <c r="B214" s="7">
        <v>15</v>
      </c>
      <c r="E214" s="5">
        <v>45209</v>
      </c>
      <c r="F214" s="1">
        <v>39.833333333333336</v>
      </c>
      <c r="I214" s="5">
        <v>45210</v>
      </c>
      <c r="J214" s="1">
        <v>5.2857142857142856</v>
      </c>
    </row>
    <row r="215" spans="1:10" x14ac:dyDescent="0.25">
      <c r="A215" s="5">
        <v>45194</v>
      </c>
      <c r="B215" s="7">
        <v>14</v>
      </c>
      <c r="E215" s="5">
        <v>45210</v>
      </c>
      <c r="F215" s="1">
        <v>34.700000000000003</v>
      </c>
      <c r="I215" s="5">
        <v>45211</v>
      </c>
      <c r="J215" s="1">
        <v>3</v>
      </c>
    </row>
    <row r="216" spans="1:10" x14ac:dyDescent="0.25">
      <c r="A216" s="5">
        <v>45195</v>
      </c>
      <c r="B216" s="7">
        <v>19</v>
      </c>
      <c r="E216" s="5">
        <v>45211</v>
      </c>
      <c r="F216" s="1">
        <v>41.055555555555557</v>
      </c>
      <c r="I216" s="5">
        <v>45212</v>
      </c>
      <c r="J216" s="1">
        <v>4.5</v>
      </c>
    </row>
    <row r="217" spans="1:10" x14ac:dyDescent="0.25">
      <c r="A217" s="5">
        <v>45196</v>
      </c>
      <c r="B217" s="7">
        <v>17</v>
      </c>
      <c r="E217" s="5">
        <v>45212</v>
      </c>
      <c r="F217" s="1">
        <v>36.950000000000003</v>
      </c>
      <c r="I217" s="5">
        <v>45213</v>
      </c>
      <c r="J217" s="1">
        <v>6.25</v>
      </c>
    </row>
    <row r="218" spans="1:10" x14ac:dyDescent="0.25">
      <c r="A218" s="5">
        <v>45197</v>
      </c>
      <c r="B218" s="7">
        <v>16</v>
      </c>
      <c r="E218" s="5">
        <v>45213</v>
      </c>
      <c r="F218" s="1">
        <v>38.18181818181818</v>
      </c>
      <c r="I218" s="5">
        <v>45214</v>
      </c>
      <c r="J218" s="1">
        <v>5</v>
      </c>
    </row>
    <row r="219" spans="1:10" x14ac:dyDescent="0.25">
      <c r="A219" s="5">
        <v>45198</v>
      </c>
      <c r="B219" s="7">
        <v>15</v>
      </c>
      <c r="E219" s="5">
        <v>45214</v>
      </c>
      <c r="F219" s="1">
        <v>30.9</v>
      </c>
      <c r="I219" s="5">
        <v>45215</v>
      </c>
      <c r="J219" s="1">
        <v>6.8</v>
      </c>
    </row>
    <row r="220" spans="1:10" x14ac:dyDescent="0.25">
      <c r="A220" s="5">
        <v>45199</v>
      </c>
      <c r="B220" s="7">
        <v>19</v>
      </c>
      <c r="E220" s="5">
        <v>45215</v>
      </c>
      <c r="F220" s="1">
        <v>27.571428571428573</v>
      </c>
      <c r="I220" s="5">
        <v>45216</v>
      </c>
      <c r="J220" s="1">
        <v>5</v>
      </c>
    </row>
    <row r="221" spans="1:10" x14ac:dyDescent="0.25">
      <c r="A221" s="5">
        <v>45200</v>
      </c>
      <c r="B221" s="7">
        <v>15</v>
      </c>
      <c r="E221" s="5">
        <v>45216</v>
      </c>
      <c r="F221" s="1">
        <v>33.18181818181818</v>
      </c>
      <c r="I221" s="5">
        <v>45217</v>
      </c>
      <c r="J221" s="1">
        <v>4.7142857142857144</v>
      </c>
    </row>
    <row r="222" spans="1:10" x14ac:dyDescent="0.25">
      <c r="A222" s="5">
        <v>45201</v>
      </c>
      <c r="B222" s="7">
        <v>14</v>
      </c>
      <c r="E222" s="5">
        <v>45217</v>
      </c>
      <c r="F222" s="1">
        <v>34.28</v>
      </c>
      <c r="I222" s="5">
        <v>45218</v>
      </c>
      <c r="J222" s="1">
        <v>6.7142857142857144</v>
      </c>
    </row>
    <row r="223" spans="1:10" x14ac:dyDescent="0.25">
      <c r="A223" s="5">
        <v>45202</v>
      </c>
      <c r="B223" s="7">
        <v>15</v>
      </c>
      <c r="E223" s="5">
        <v>45218</v>
      </c>
      <c r="F223" s="1">
        <v>39.764705882352942</v>
      </c>
      <c r="I223" s="5">
        <v>45219</v>
      </c>
      <c r="J223" s="1">
        <v>1.5714285714285714</v>
      </c>
    </row>
    <row r="224" spans="1:10" x14ac:dyDescent="0.25">
      <c r="A224" s="5">
        <v>45203</v>
      </c>
      <c r="B224" s="7">
        <v>18</v>
      </c>
      <c r="E224" s="5">
        <v>45219</v>
      </c>
      <c r="F224" s="1">
        <v>31.954545454545453</v>
      </c>
      <c r="I224" s="5">
        <v>45220</v>
      </c>
      <c r="J224" s="1">
        <v>5.125</v>
      </c>
    </row>
    <row r="225" spans="1:10" x14ac:dyDescent="0.25">
      <c r="A225" s="5">
        <v>45204</v>
      </c>
      <c r="B225" s="7">
        <v>19</v>
      </c>
      <c r="E225" s="5">
        <v>45220</v>
      </c>
      <c r="F225" s="1">
        <v>30.166666666666668</v>
      </c>
      <c r="I225" s="5">
        <v>45221</v>
      </c>
      <c r="J225" s="1">
        <v>4.5</v>
      </c>
    </row>
    <row r="226" spans="1:10" x14ac:dyDescent="0.25">
      <c r="A226" s="5">
        <v>45205</v>
      </c>
      <c r="B226" s="7">
        <v>15</v>
      </c>
      <c r="E226" s="5">
        <v>45221</v>
      </c>
      <c r="F226" s="1">
        <v>36.875</v>
      </c>
      <c r="I226" s="5">
        <v>45222</v>
      </c>
      <c r="J226" s="1">
        <v>5.666666666666667</v>
      </c>
    </row>
    <row r="227" spans="1:10" x14ac:dyDescent="0.25">
      <c r="A227" s="5">
        <v>45206</v>
      </c>
      <c r="B227" s="7">
        <v>15</v>
      </c>
      <c r="E227" s="5">
        <v>45222</v>
      </c>
      <c r="F227" s="1">
        <v>38.714285714285715</v>
      </c>
      <c r="I227" s="5">
        <v>45223</v>
      </c>
      <c r="J227" s="1">
        <v>6.5</v>
      </c>
    </row>
    <row r="228" spans="1:10" x14ac:dyDescent="0.25">
      <c r="A228" s="5">
        <v>45207</v>
      </c>
      <c r="B228" s="7">
        <v>10</v>
      </c>
      <c r="E228" s="5">
        <v>45223</v>
      </c>
      <c r="F228" s="1">
        <v>31.923076923076923</v>
      </c>
      <c r="I228" s="5">
        <v>45224</v>
      </c>
      <c r="J228" s="1">
        <v>4.333333333333333</v>
      </c>
    </row>
    <row r="229" spans="1:10" x14ac:dyDescent="0.25">
      <c r="A229" s="5">
        <v>45208</v>
      </c>
      <c r="B229" s="7">
        <v>19</v>
      </c>
      <c r="E229" s="5">
        <v>45224</v>
      </c>
      <c r="F229" s="1">
        <v>29.6</v>
      </c>
      <c r="I229" s="5">
        <v>45225</v>
      </c>
      <c r="J229" s="1">
        <v>4</v>
      </c>
    </row>
    <row r="230" spans="1:10" x14ac:dyDescent="0.25">
      <c r="A230" s="5">
        <v>45209</v>
      </c>
      <c r="B230" s="7">
        <v>12</v>
      </c>
      <c r="E230" s="5">
        <v>45225</v>
      </c>
      <c r="F230" s="1">
        <v>31.666666666666668</v>
      </c>
      <c r="I230" s="5">
        <v>45226</v>
      </c>
      <c r="J230" s="1">
        <v>4.5</v>
      </c>
    </row>
    <row r="231" spans="1:10" x14ac:dyDescent="0.25">
      <c r="A231" s="5">
        <v>45210</v>
      </c>
      <c r="B231" s="7">
        <v>20</v>
      </c>
      <c r="E231" s="5">
        <v>45226</v>
      </c>
      <c r="F231" s="1">
        <v>42.6</v>
      </c>
      <c r="I231" s="5">
        <v>45227</v>
      </c>
      <c r="J231" s="1">
        <v>3.6666666666666665</v>
      </c>
    </row>
    <row r="232" spans="1:10" x14ac:dyDescent="0.25">
      <c r="A232" s="5">
        <v>45211</v>
      </c>
      <c r="B232" s="7">
        <v>18</v>
      </c>
      <c r="E232" s="5">
        <v>45227</v>
      </c>
      <c r="F232" s="1">
        <v>33.799999999999997</v>
      </c>
      <c r="I232" s="5">
        <v>45228</v>
      </c>
      <c r="J232" s="1">
        <v>3.2</v>
      </c>
    </row>
    <row r="233" spans="1:10" x14ac:dyDescent="0.25">
      <c r="A233" s="5">
        <v>45212</v>
      </c>
      <c r="B233" s="7">
        <v>20</v>
      </c>
      <c r="E233" s="5">
        <v>45228</v>
      </c>
      <c r="F233" s="1">
        <v>40.555555555555557</v>
      </c>
      <c r="I233" s="5">
        <v>45229</v>
      </c>
      <c r="J233" s="1">
        <v>2.6666666666666665</v>
      </c>
    </row>
    <row r="234" spans="1:10" x14ac:dyDescent="0.25">
      <c r="A234" s="5">
        <v>45213</v>
      </c>
      <c r="B234" s="7">
        <v>11</v>
      </c>
      <c r="E234" s="5">
        <v>45229</v>
      </c>
      <c r="F234" s="1">
        <v>26.75</v>
      </c>
      <c r="I234" s="5">
        <v>45230</v>
      </c>
      <c r="J234" s="1">
        <v>5</v>
      </c>
    </row>
    <row r="235" spans="1:10" x14ac:dyDescent="0.25">
      <c r="A235" s="5">
        <v>45214</v>
      </c>
      <c r="B235" s="7">
        <v>10</v>
      </c>
      <c r="E235" s="5">
        <v>45230</v>
      </c>
      <c r="F235" s="1">
        <v>35.049999999999997</v>
      </c>
      <c r="I235" s="5">
        <v>45231</v>
      </c>
      <c r="J235" s="1">
        <v>4.666666666666667</v>
      </c>
    </row>
    <row r="236" spans="1:10" x14ac:dyDescent="0.25">
      <c r="A236" s="5">
        <v>45215</v>
      </c>
      <c r="B236" s="7">
        <v>14</v>
      </c>
      <c r="E236" s="5">
        <v>45231</v>
      </c>
      <c r="F236" s="1">
        <v>35.117647058823529</v>
      </c>
      <c r="I236" s="5">
        <v>45232</v>
      </c>
      <c r="J236" s="1">
        <v>4.666666666666667</v>
      </c>
    </row>
    <row r="237" spans="1:10" x14ac:dyDescent="0.25">
      <c r="A237" s="5">
        <v>45216</v>
      </c>
      <c r="B237" s="7">
        <v>11</v>
      </c>
      <c r="E237" s="5">
        <v>45232</v>
      </c>
      <c r="F237" s="1">
        <v>28.916666666666668</v>
      </c>
      <c r="I237" s="5">
        <v>45233</v>
      </c>
      <c r="J237" s="1">
        <v>5.4</v>
      </c>
    </row>
    <row r="238" spans="1:10" x14ac:dyDescent="0.25">
      <c r="A238" s="5">
        <v>45217</v>
      </c>
      <c r="B238" s="7">
        <v>25</v>
      </c>
      <c r="E238" s="5">
        <v>45233</v>
      </c>
      <c r="F238" s="1">
        <v>34.357142857142854</v>
      </c>
      <c r="I238" s="5">
        <v>45234</v>
      </c>
      <c r="J238" s="1">
        <v>5.2</v>
      </c>
    </row>
    <row r="239" spans="1:10" x14ac:dyDescent="0.25">
      <c r="A239" s="5">
        <v>45218</v>
      </c>
      <c r="B239" s="7">
        <v>17</v>
      </c>
      <c r="E239" s="5">
        <v>45234</v>
      </c>
      <c r="F239" s="1">
        <v>29.705882352941178</v>
      </c>
      <c r="I239" s="5">
        <v>45235</v>
      </c>
      <c r="J239" s="1">
        <v>2.4285714285714284</v>
      </c>
    </row>
    <row r="240" spans="1:10" x14ac:dyDescent="0.25">
      <c r="A240" s="5">
        <v>45219</v>
      </c>
      <c r="B240" s="7">
        <v>22</v>
      </c>
      <c r="E240" s="5">
        <v>45235</v>
      </c>
      <c r="F240" s="1">
        <v>33.176470588235297</v>
      </c>
      <c r="I240" s="5">
        <v>45236</v>
      </c>
      <c r="J240" s="1">
        <v>4.8</v>
      </c>
    </row>
    <row r="241" spans="1:10" x14ac:dyDescent="0.25">
      <c r="A241" s="5">
        <v>45220</v>
      </c>
      <c r="B241" s="7">
        <v>18</v>
      </c>
      <c r="E241" s="5">
        <v>45236</v>
      </c>
      <c r="F241" s="1">
        <v>39.8125</v>
      </c>
      <c r="I241" s="5">
        <v>45237</v>
      </c>
      <c r="J241" s="1">
        <v>6.5714285714285712</v>
      </c>
    </row>
    <row r="242" spans="1:10" x14ac:dyDescent="0.25">
      <c r="A242" s="5">
        <v>45221</v>
      </c>
      <c r="B242" s="7">
        <v>16</v>
      </c>
      <c r="E242" s="5">
        <v>45237</v>
      </c>
      <c r="F242" s="1">
        <v>36.578947368421055</v>
      </c>
      <c r="I242" s="5">
        <v>45238</v>
      </c>
      <c r="J242" s="1">
        <v>3</v>
      </c>
    </row>
    <row r="243" spans="1:10" x14ac:dyDescent="0.25">
      <c r="A243" s="5">
        <v>45222</v>
      </c>
      <c r="B243" s="7">
        <v>14</v>
      </c>
      <c r="E243" s="5">
        <v>45238</v>
      </c>
      <c r="F243" s="1">
        <v>34.5</v>
      </c>
      <c r="I243" s="5">
        <v>45239</v>
      </c>
      <c r="J243" s="1">
        <v>4.5999999999999996</v>
      </c>
    </row>
    <row r="244" spans="1:10" x14ac:dyDescent="0.25">
      <c r="A244" s="5">
        <v>45223</v>
      </c>
      <c r="B244" s="7">
        <v>13</v>
      </c>
      <c r="E244" s="5">
        <v>45239</v>
      </c>
      <c r="F244" s="1">
        <v>39.764705882352942</v>
      </c>
      <c r="I244" s="5">
        <v>45240</v>
      </c>
      <c r="J244" s="1">
        <v>3.875</v>
      </c>
    </row>
    <row r="245" spans="1:10" x14ac:dyDescent="0.25">
      <c r="A245" s="5">
        <v>45224</v>
      </c>
      <c r="B245" s="7">
        <v>15</v>
      </c>
      <c r="E245" s="5">
        <v>45240</v>
      </c>
      <c r="F245" s="1">
        <v>35.230769230769234</v>
      </c>
      <c r="I245" s="5">
        <v>45241</v>
      </c>
      <c r="J245" s="1">
        <v>7.25</v>
      </c>
    </row>
    <row r="246" spans="1:10" x14ac:dyDescent="0.25">
      <c r="A246" s="5">
        <v>45225</v>
      </c>
      <c r="B246" s="7">
        <v>18</v>
      </c>
      <c r="E246" s="5">
        <v>45241</v>
      </c>
      <c r="F246" s="1">
        <v>41.5</v>
      </c>
      <c r="I246" s="5">
        <v>45242</v>
      </c>
      <c r="J246" s="1">
        <v>3</v>
      </c>
    </row>
    <row r="247" spans="1:10" x14ac:dyDescent="0.25">
      <c r="A247" s="5">
        <v>45226</v>
      </c>
      <c r="B247" s="7">
        <v>10</v>
      </c>
      <c r="E247" s="5">
        <v>45242</v>
      </c>
      <c r="F247" s="1">
        <v>38.0625</v>
      </c>
      <c r="I247" s="5">
        <v>45243</v>
      </c>
      <c r="J247" s="1">
        <v>8</v>
      </c>
    </row>
    <row r="248" spans="1:10" x14ac:dyDescent="0.25">
      <c r="A248" s="5">
        <v>45227</v>
      </c>
      <c r="B248" s="7">
        <v>15</v>
      </c>
      <c r="E248" s="5">
        <v>45243</v>
      </c>
      <c r="F248" s="1">
        <v>29.222222222222221</v>
      </c>
      <c r="I248" s="5">
        <v>45244</v>
      </c>
      <c r="J248" s="1">
        <v>6</v>
      </c>
    </row>
    <row r="249" spans="1:10" x14ac:dyDescent="0.25">
      <c r="A249" s="5">
        <v>45228</v>
      </c>
      <c r="B249" s="7">
        <v>18</v>
      </c>
      <c r="E249" s="5">
        <v>45244</v>
      </c>
      <c r="F249" s="1">
        <v>31</v>
      </c>
      <c r="I249" s="5">
        <v>45245</v>
      </c>
      <c r="J249" s="1">
        <v>3.6666666666666665</v>
      </c>
    </row>
    <row r="250" spans="1:10" x14ac:dyDescent="0.25">
      <c r="A250" s="5">
        <v>45229</v>
      </c>
      <c r="B250" s="7">
        <v>16</v>
      </c>
      <c r="E250" s="5">
        <v>45245</v>
      </c>
      <c r="F250" s="1">
        <v>37.3125</v>
      </c>
      <c r="I250" s="5">
        <v>45246</v>
      </c>
      <c r="J250" s="1">
        <v>5.333333333333333</v>
      </c>
    </row>
    <row r="251" spans="1:10" x14ac:dyDescent="0.25">
      <c r="A251" s="5">
        <v>45230</v>
      </c>
      <c r="B251" s="7">
        <v>20</v>
      </c>
      <c r="E251" s="5">
        <v>45246</v>
      </c>
      <c r="F251" s="1">
        <v>35.647058823529413</v>
      </c>
      <c r="I251" s="5">
        <v>45247</v>
      </c>
      <c r="J251" s="1">
        <v>6.1111111111111107</v>
      </c>
    </row>
    <row r="252" spans="1:10" x14ac:dyDescent="0.25">
      <c r="A252" s="5">
        <v>45231</v>
      </c>
      <c r="B252" s="7">
        <v>17</v>
      </c>
      <c r="E252" s="5">
        <v>45247</v>
      </c>
      <c r="F252" s="1">
        <v>36.476190476190474</v>
      </c>
      <c r="I252" s="5">
        <v>45248</v>
      </c>
      <c r="J252" s="1">
        <v>6.5</v>
      </c>
    </row>
    <row r="253" spans="1:10" x14ac:dyDescent="0.25">
      <c r="A253" s="5">
        <v>45232</v>
      </c>
      <c r="B253" s="7">
        <v>12</v>
      </c>
      <c r="E253" s="5">
        <v>45248</v>
      </c>
      <c r="F253" s="1">
        <v>40.799999999999997</v>
      </c>
      <c r="I253" s="5">
        <v>45249</v>
      </c>
      <c r="J253" s="1">
        <v>5</v>
      </c>
    </row>
    <row r="254" spans="1:10" x14ac:dyDescent="0.25">
      <c r="A254" s="5">
        <v>45233</v>
      </c>
      <c r="B254" s="7">
        <v>14</v>
      </c>
      <c r="E254" s="5">
        <v>45249</v>
      </c>
      <c r="F254" s="1">
        <v>30.318181818181817</v>
      </c>
      <c r="I254" s="5">
        <v>45250</v>
      </c>
      <c r="J254" s="1">
        <v>5.8</v>
      </c>
    </row>
    <row r="255" spans="1:10" x14ac:dyDescent="0.25">
      <c r="A255" s="5">
        <v>45234</v>
      </c>
      <c r="B255" s="7">
        <v>17</v>
      </c>
      <c r="E255" s="5">
        <v>45250</v>
      </c>
      <c r="F255" s="1">
        <v>35.714285714285715</v>
      </c>
      <c r="I255" s="5">
        <v>45251</v>
      </c>
      <c r="J255" s="1">
        <v>6</v>
      </c>
    </row>
    <row r="256" spans="1:10" x14ac:dyDescent="0.25">
      <c r="A256" s="5">
        <v>45235</v>
      </c>
      <c r="B256" s="7">
        <v>17</v>
      </c>
      <c r="E256" s="5">
        <v>45251</v>
      </c>
      <c r="F256" s="1">
        <v>33.53846153846154</v>
      </c>
      <c r="I256" s="5">
        <v>45252</v>
      </c>
      <c r="J256" s="1">
        <v>8</v>
      </c>
    </row>
    <row r="257" spans="1:10" x14ac:dyDescent="0.25">
      <c r="A257" s="5">
        <v>45236</v>
      </c>
      <c r="B257" s="7">
        <v>16</v>
      </c>
      <c r="E257" s="5">
        <v>45252</v>
      </c>
      <c r="F257" s="1">
        <v>37.5</v>
      </c>
      <c r="I257" s="5">
        <v>45253</v>
      </c>
      <c r="J257" s="1">
        <v>7</v>
      </c>
    </row>
    <row r="258" spans="1:10" x14ac:dyDescent="0.25">
      <c r="A258" s="5">
        <v>45237</v>
      </c>
      <c r="B258" s="7">
        <v>19</v>
      </c>
      <c r="E258" s="5">
        <v>45253</v>
      </c>
      <c r="F258" s="1">
        <v>38.058823529411768</v>
      </c>
      <c r="I258" s="5">
        <v>45254</v>
      </c>
      <c r="J258" s="1">
        <v>3.75</v>
      </c>
    </row>
    <row r="259" spans="1:10" x14ac:dyDescent="0.25">
      <c r="A259" s="5">
        <v>45238</v>
      </c>
      <c r="B259" s="7">
        <v>14</v>
      </c>
      <c r="E259" s="5">
        <v>45254</v>
      </c>
      <c r="F259" s="1">
        <v>28.117647058823529</v>
      </c>
      <c r="I259" s="5">
        <v>45255</v>
      </c>
      <c r="J259" s="1">
        <v>1</v>
      </c>
    </row>
    <row r="260" spans="1:10" x14ac:dyDescent="0.25">
      <c r="A260" s="5">
        <v>45239</v>
      </c>
      <c r="B260" s="7">
        <v>17</v>
      </c>
      <c r="E260" s="5">
        <v>45255</v>
      </c>
      <c r="F260" s="1">
        <v>31.846153846153847</v>
      </c>
      <c r="I260" s="5">
        <v>45256</v>
      </c>
      <c r="J260" s="1">
        <v>9</v>
      </c>
    </row>
    <row r="261" spans="1:10" x14ac:dyDescent="0.25">
      <c r="A261" s="5">
        <v>45240</v>
      </c>
      <c r="B261" s="7">
        <v>13</v>
      </c>
      <c r="E261" s="5">
        <v>45256</v>
      </c>
      <c r="F261" s="1">
        <v>43.636363636363633</v>
      </c>
      <c r="I261" s="5">
        <v>45257</v>
      </c>
      <c r="J261" s="1">
        <v>5.8</v>
      </c>
    </row>
    <row r="262" spans="1:10" x14ac:dyDescent="0.25">
      <c r="A262" s="5">
        <v>45241</v>
      </c>
      <c r="B262" s="7">
        <v>12</v>
      </c>
      <c r="E262" s="5">
        <v>45257</v>
      </c>
      <c r="F262" s="1">
        <v>38.842105263157897</v>
      </c>
      <c r="I262" s="5">
        <v>45258</v>
      </c>
      <c r="J262" s="1">
        <v>4</v>
      </c>
    </row>
    <row r="263" spans="1:10" x14ac:dyDescent="0.25">
      <c r="A263" s="5">
        <v>45242</v>
      </c>
      <c r="B263" s="7">
        <v>16</v>
      </c>
      <c r="E263" s="5">
        <v>45258</v>
      </c>
      <c r="F263" s="1">
        <v>29.5625</v>
      </c>
      <c r="I263" s="5">
        <v>45259</v>
      </c>
      <c r="J263" s="1">
        <v>6.4</v>
      </c>
    </row>
    <row r="264" spans="1:10" x14ac:dyDescent="0.25">
      <c r="A264" s="5">
        <v>45243</v>
      </c>
      <c r="B264" s="7">
        <v>9</v>
      </c>
      <c r="E264" s="5">
        <v>45259</v>
      </c>
      <c r="F264" s="1">
        <v>37.466666666666669</v>
      </c>
      <c r="I264" s="5">
        <v>45260</v>
      </c>
      <c r="J264" s="1">
        <v>5</v>
      </c>
    </row>
    <row r="265" spans="1:10" x14ac:dyDescent="0.25">
      <c r="A265" s="5">
        <v>45244</v>
      </c>
      <c r="B265" s="7">
        <v>17</v>
      </c>
      <c r="E265" s="5">
        <v>45260</v>
      </c>
      <c r="F265" s="1">
        <v>35.277777777777779</v>
      </c>
      <c r="I265" s="5">
        <v>45261</v>
      </c>
      <c r="J265" s="1">
        <v>9</v>
      </c>
    </row>
    <row r="266" spans="1:10" x14ac:dyDescent="0.25">
      <c r="A266" s="5">
        <v>45245</v>
      </c>
      <c r="B266" s="7">
        <v>16</v>
      </c>
      <c r="E266" s="5">
        <v>45261</v>
      </c>
      <c r="F266" s="1">
        <v>34.5</v>
      </c>
      <c r="I266" s="5">
        <v>45262</v>
      </c>
      <c r="J266" s="1">
        <v>4.4000000000000004</v>
      </c>
    </row>
    <row r="267" spans="1:10" x14ac:dyDescent="0.25">
      <c r="A267" s="5">
        <v>45246</v>
      </c>
      <c r="B267" s="7">
        <v>17</v>
      </c>
      <c r="E267" s="5">
        <v>45262</v>
      </c>
      <c r="F267" s="1">
        <v>35.4</v>
      </c>
      <c r="I267" s="5">
        <v>45263</v>
      </c>
      <c r="J267" s="1">
        <v>4</v>
      </c>
    </row>
    <row r="268" spans="1:10" x14ac:dyDescent="0.25">
      <c r="A268" s="5">
        <v>45247</v>
      </c>
      <c r="B268" s="7">
        <v>21</v>
      </c>
      <c r="E268" s="5">
        <v>45263</v>
      </c>
      <c r="F268" s="1">
        <v>34.928571428571431</v>
      </c>
      <c r="I268" s="5">
        <v>45264</v>
      </c>
      <c r="J268" s="1">
        <v>0</v>
      </c>
    </row>
    <row r="269" spans="1:10" x14ac:dyDescent="0.25">
      <c r="A269" s="5">
        <v>45248</v>
      </c>
      <c r="B269" s="7">
        <v>15</v>
      </c>
      <c r="E269" s="5">
        <v>45264</v>
      </c>
      <c r="F269" s="1">
        <v>44.25</v>
      </c>
      <c r="I269" s="5">
        <v>45265</v>
      </c>
      <c r="J269" s="1">
        <v>2.875</v>
      </c>
    </row>
    <row r="270" spans="1:10" x14ac:dyDescent="0.25">
      <c r="A270" s="5">
        <v>45249</v>
      </c>
      <c r="B270" s="7">
        <v>22</v>
      </c>
      <c r="E270" s="5">
        <v>45265</v>
      </c>
      <c r="F270" s="1">
        <v>40.1875</v>
      </c>
      <c r="I270" s="5">
        <v>45266</v>
      </c>
      <c r="J270" s="1">
        <v>5.25</v>
      </c>
    </row>
    <row r="271" spans="1:10" x14ac:dyDescent="0.25">
      <c r="A271" s="5">
        <v>45250</v>
      </c>
      <c r="B271" s="7">
        <v>14</v>
      </c>
      <c r="E271" s="5">
        <v>45266</v>
      </c>
      <c r="F271" s="1">
        <v>35</v>
      </c>
      <c r="I271" s="5">
        <v>45268</v>
      </c>
      <c r="J271" s="1">
        <v>6</v>
      </c>
    </row>
    <row r="272" spans="1:10" x14ac:dyDescent="0.25">
      <c r="A272" s="5">
        <v>45251</v>
      </c>
      <c r="B272" s="7">
        <v>13</v>
      </c>
      <c r="E272" s="5">
        <v>45267</v>
      </c>
      <c r="F272" s="1">
        <v>43.142857142857146</v>
      </c>
      <c r="I272" s="5">
        <v>45269</v>
      </c>
      <c r="J272" s="1">
        <v>6.5</v>
      </c>
    </row>
    <row r="273" spans="1:10" x14ac:dyDescent="0.25">
      <c r="A273" s="5">
        <v>45252</v>
      </c>
      <c r="B273" s="7">
        <v>10</v>
      </c>
      <c r="E273" s="5">
        <v>45268</v>
      </c>
      <c r="F273" s="1">
        <v>43.6875</v>
      </c>
      <c r="I273" s="5">
        <v>45270</v>
      </c>
      <c r="J273" s="1">
        <v>5.5</v>
      </c>
    </row>
    <row r="274" spans="1:10" x14ac:dyDescent="0.25">
      <c r="A274" s="5">
        <v>45253</v>
      </c>
      <c r="B274" s="7">
        <v>17</v>
      </c>
      <c r="E274" s="5">
        <v>45269</v>
      </c>
      <c r="F274" s="1">
        <v>33.857142857142854</v>
      </c>
      <c r="I274" s="5">
        <v>45271</v>
      </c>
      <c r="J274" s="1">
        <v>5.666666666666667</v>
      </c>
    </row>
    <row r="275" spans="1:10" x14ac:dyDescent="0.25">
      <c r="A275" s="5">
        <v>45254</v>
      </c>
      <c r="B275" s="7">
        <v>17</v>
      </c>
      <c r="E275" s="5">
        <v>45270</v>
      </c>
      <c r="F275" s="1">
        <v>40.1875</v>
      </c>
      <c r="I275" s="5">
        <v>45272</v>
      </c>
      <c r="J275" s="1">
        <v>5.25</v>
      </c>
    </row>
    <row r="276" spans="1:10" x14ac:dyDescent="0.25">
      <c r="A276" s="5">
        <v>45255</v>
      </c>
      <c r="B276" s="7">
        <v>13</v>
      </c>
      <c r="E276" s="5">
        <v>45271</v>
      </c>
      <c r="F276" s="1">
        <v>34.9375</v>
      </c>
      <c r="I276" s="5">
        <v>45273</v>
      </c>
      <c r="J276" s="1">
        <v>7.25</v>
      </c>
    </row>
    <row r="277" spans="1:10" x14ac:dyDescent="0.25">
      <c r="A277" s="5">
        <v>45256</v>
      </c>
      <c r="B277" s="7">
        <v>11</v>
      </c>
      <c r="E277" s="5">
        <v>45272</v>
      </c>
      <c r="F277" s="1">
        <v>28.684210526315791</v>
      </c>
      <c r="I277" s="5">
        <v>45274</v>
      </c>
      <c r="J277" s="1">
        <v>6</v>
      </c>
    </row>
    <row r="278" spans="1:10" x14ac:dyDescent="0.25">
      <c r="A278" s="5">
        <v>45257</v>
      </c>
      <c r="B278" s="7">
        <v>19</v>
      </c>
      <c r="E278" s="5">
        <v>45273</v>
      </c>
      <c r="F278" s="1">
        <v>25</v>
      </c>
      <c r="I278" s="5">
        <v>45275</v>
      </c>
      <c r="J278" s="1">
        <v>4.5999999999999996</v>
      </c>
    </row>
    <row r="279" spans="1:10" x14ac:dyDescent="0.25">
      <c r="A279" s="5">
        <v>45258</v>
      </c>
      <c r="B279" s="7">
        <v>16</v>
      </c>
      <c r="E279" s="5">
        <v>45274</v>
      </c>
      <c r="F279" s="1">
        <v>35.46153846153846</v>
      </c>
      <c r="I279" s="5">
        <v>45276</v>
      </c>
      <c r="J279" s="1">
        <v>8</v>
      </c>
    </row>
    <row r="280" spans="1:10" x14ac:dyDescent="0.25">
      <c r="A280" s="5">
        <v>45259</v>
      </c>
      <c r="B280" s="7">
        <v>15</v>
      </c>
      <c r="E280" s="5">
        <v>45275</v>
      </c>
      <c r="F280" s="1">
        <v>33.814814814814817</v>
      </c>
      <c r="I280" s="5">
        <v>45277</v>
      </c>
      <c r="J280" s="1">
        <v>3.6666666666666665</v>
      </c>
    </row>
    <row r="281" spans="1:10" x14ac:dyDescent="0.25">
      <c r="A281" s="5">
        <v>45260</v>
      </c>
      <c r="B281" s="7">
        <v>18</v>
      </c>
      <c r="E281" s="5">
        <v>45276</v>
      </c>
      <c r="F281" s="1">
        <v>33.631578947368418</v>
      </c>
      <c r="I281" s="5">
        <v>45278</v>
      </c>
      <c r="J281" s="1">
        <v>2.4285714285714284</v>
      </c>
    </row>
    <row r="282" spans="1:10" x14ac:dyDescent="0.25">
      <c r="A282" s="5">
        <v>45261</v>
      </c>
      <c r="B282" s="7">
        <v>16</v>
      </c>
      <c r="E282" s="5">
        <v>45277</v>
      </c>
      <c r="F282" s="1">
        <v>36.611111111111114</v>
      </c>
      <c r="I282" s="5">
        <v>45279</v>
      </c>
      <c r="J282" s="1">
        <v>9</v>
      </c>
    </row>
    <row r="283" spans="1:10" x14ac:dyDescent="0.25">
      <c r="A283" s="5">
        <v>45262</v>
      </c>
      <c r="B283" s="7">
        <v>15</v>
      </c>
      <c r="E283" s="5">
        <v>45278</v>
      </c>
      <c r="F283" s="1">
        <v>30.5</v>
      </c>
      <c r="I283" s="5">
        <v>45280</v>
      </c>
      <c r="J283" s="1">
        <v>6</v>
      </c>
    </row>
    <row r="284" spans="1:10" x14ac:dyDescent="0.25">
      <c r="A284" s="5">
        <v>45263</v>
      </c>
      <c r="B284" s="7">
        <v>14</v>
      </c>
      <c r="E284" s="5">
        <v>45279</v>
      </c>
      <c r="F284" s="1">
        <v>33.6</v>
      </c>
      <c r="I284" s="5">
        <v>45281</v>
      </c>
      <c r="J284" s="1">
        <v>4</v>
      </c>
    </row>
    <row r="285" spans="1:10" x14ac:dyDescent="0.25">
      <c r="A285" s="5">
        <v>45264</v>
      </c>
      <c r="B285" s="7">
        <v>12</v>
      </c>
      <c r="E285" s="5">
        <v>45280</v>
      </c>
      <c r="F285" s="1">
        <v>26.75</v>
      </c>
      <c r="I285" s="5">
        <v>45282</v>
      </c>
      <c r="J285" s="1">
        <v>4.833333333333333</v>
      </c>
    </row>
    <row r="286" spans="1:10" x14ac:dyDescent="0.25">
      <c r="A286" s="5">
        <v>45265</v>
      </c>
      <c r="B286" s="7">
        <v>16</v>
      </c>
      <c r="E286" s="5">
        <v>45281</v>
      </c>
      <c r="F286" s="1">
        <v>37.684210526315788</v>
      </c>
      <c r="I286" s="5">
        <v>45283</v>
      </c>
      <c r="J286" s="1">
        <v>3.6</v>
      </c>
    </row>
    <row r="287" spans="1:10" x14ac:dyDescent="0.25">
      <c r="A287" s="5">
        <v>45266</v>
      </c>
      <c r="B287" s="7">
        <v>11</v>
      </c>
      <c r="E287" s="5">
        <v>45282</v>
      </c>
      <c r="F287" s="1">
        <v>36.611111111111114</v>
      </c>
      <c r="I287" s="5">
        <v>45284</v>
      </c>
      <c r="J287" s="1">
        <v>5</v>
      </c>
    </row>
    <row r="288" spans="1:10" x14ac:dyDescent="0.25">
      <c r="A288" s="5">
        <v>45267</v>
      </c>
      <c r="B288" s="7">
        <v>7</v>
      </c>
      <c r="E288" s="5">
        <v>45283</v>
      </c>
      <c r="F288" s="1">
        <v>35.428571428571431</v>
      </c>
      <c r="I288" s="5">
        <v>45285</v>
      </c>
      <c r="J288" s="1">
        <v>5.25</v>
      </c>
    </row>
    <row r="289" spans="1:10" x14ac:dyDescent="0.25">
      <c r="A289" s="5">
        <v>45268</v>
      </c>
      <c r="B289" s="7">
        <v>16</v>
      </c>
      <c r="E289" s="5">
        <v>45284</v>
      </c>
      <c r="F289" s="1">
        <v>31.944444444444443</v>
      </c>
      <c r="I289" s="5">
        <v>45286</v>
      </c>
      <c r="J289" s="1">
        <v>3.2</v>
      </c>
    </row>
    <row r="290" spans="1:10" x14ac:dyDescent="0.25">
      <c r="A290" s="5">
        <v>45269</v>
      </c>
      <c r="B290" s="7">
        <v>7</v>
      </c>
      <c r="E290" s="5">
        <v>45285</v>
      </c>
      <c r="F290" s="1">
        <v>31.875</v>
      </c>
      <c r="I290" s="5">
        <v>45287</v>
      </c>
      <c r="J290" s="1">
        <v>5.5</v>
      </c>
    </row>
    <row r="291" spans="1:10" x14ac:dyDescent="0.25">
      <c r="A291" s="5">
        <v>45270</v>
      </c>
      <c r="B291" s="7">
        <v>16</v>
      </c>
      <c r="E291" s="5">
        <v>45286</v>
      </c>
      <c r="F291" s="1">
        <v>28.642857142857142</v>
      </c>
      <c r="I291" s="5">
        <v>45288</v>
      </c>
      <c r="J291" s="1">
        <v>3</v>
      </c>
    </row>
    <row r="292" spans="1:10" x14ac:dyDescent="0.25">
      <c r="A292" s="5">
        <v>45271</v>
      </c>
      <c r="B292" s="7">
        <v>16</v>
      </c>
      <c r="E292" s="5">
        <v>45287</v>
      </c>
      <c r="F292" s="1">
        <v>39.214285714285715</v>
      </c>
      <c r="I292" s="5">
        <v>45289</v>
      </c>
      <c r="J292" s="1">
        <v>3.9090909090909092</v>
      </c>
    </row>
    <row r="293" spans="1:10" x14ac:dyDescent="0.25">
      <c r="A293" s="5">
        <v>45272</v>
      </c>
      <c r="B293" s="7">
        <v>19</v>
      </c>
      <c r="E293" s="5">
        <v>45288</v>
      </c>
      <c r="F293" s="1">
        <v>32.0625</v>
      </c>
      <c r="I293" s="5">
        <v>45290</v>
      </c>
      <c r="J293" s="1">
        <v>2.6666666666666665</v>
      </c>
    </row>
    <row r="294" spans="1:10" x14ac:dyDescent="0.25">
      <c r="A294" s="5">
        <v>45273</v>
      </c>
      <c r="B294" s="7">
        <v>10</v>
      </c>
      <c r="E294" s="5">
        <v>45289</v>
      </c>
      <c r="F294" s="1">
        <v>28.285714285714285</v>
      </c>
      <c r="I294" s="5">
        <v>45292</v>
      </c>
      <c r="J294" s="1">
        <v>6.666666666666667</v>
      </c>
    </row>
    <row r="295" spans="1:10" x14ac:dyDescent="0.25">
      <c r="A295" s="5">
        <v>45274</v>
      </c>
      <c r="B295" s="7">
        <v>13</v>
      </c>
      <c r="E295" s="5">
        <v>45290</v>
      </c>
      <c r="F295" s="1">
        <v>35.476190476190474</v>
      </c>
      <c r="I295" s="5">
        <v>45293</v>
      </c>
      <c r="J295" s="1">
        <v>3.5</v>
      </c>
    </row>
    <row r="296" spans="1:10" x14ac:dyDescent="0.25">
      <c r="A296" s="5">
        <v>45275</v>
      </c>
      <c r="B296" s="7">
        <v>27</v>
      </c>
      <c r="E296" s="5">
        <v>45291</v>
      </c>
      <c r="F296" s="1">
        <v>39.799999999999997</v>
      </c>
      <c r="I296" s="5">
        <v>45294</v>
      </c>
      <c r="J296" s="1">
        <v>4.5</v>
      </c>
    </row>
    <row r="297" spans="1:10" x14ac:dyDescent="0.25">
      <c r="A297" s="5">
        <v>45276</v>
      </c>
      <c r="B297" s="7">
        <v>19</v>
      </c>
      <c r="E297" s="5">
        <v>45292</v>
      </c>
      <c r="F297" s="1">
        <v>37.789473684210527</v>
      </c>
      <c r="I297" s="5">
        <v>45295</v>
      </c>
      <c r="J297" s="1">
        <v>4.8</v>
      </c>
    </row>
    <row r="298" spans="1:10" x14ac:dyDescent="0.25">
      <c r="A298" s="5">
        <v>45277</v>
      </c>
      <c r="B298" s="7">
        <v>18</v>
      </c>
      <c r="E298" s="5">
        <v>45293</v>
      </c>
      <c r="F298" s="1">
        <v>38.214285714285715</v>
      </c>
      <c r="I298" s="5">
        <v>45296</v>
      </c>
      <c r="J298" s="1">
        <v>7.75</v>
      </c>
    </row>
    <row r="299" spans="1:10" x14ac:dyDescent="0.25">
      <c r="A299" s="5">
        <v>45278</v>
      </c>
      <c r="B299" s="7">
        <v>12</v>
      </c>
      <c r="E299" s="5">
        <v>45294</v>
      </c>
      <c r="F299" s="1">
        <v>40.92307692307692</v>
      </c>
      <c r="I299" s="5">
        <v>45297</v>
      </c>
      <c r="J299" s="1">
        <v>6.2</v>
      </c>
    </row>
    <row r="300" spans="1:10" x14ac:dyDescent="0.25">
      <c r="A300" s="5">
        <v>45279</v>
      </c>
      <c r="B300" s="7">
        <v>20</v>
      </c>
      <c r="E300" s="5">
        <v>45295</v>
      </c>
      <c r="F300" s="1">
        <v>34.5</v>
      </c>
      <c r="I300" s="5">
        <v>45298</v>
      </c>
      <c r="J300" s="1">
        <v>3.75</v>
      </c>
    </row>
    <row r="301" spans="1:10" x14ac:dyDescent="0.25">
      <c r="A301" s="5">
        <v>45280</v>
      </c>
      <c r="B301" s="7">
        <v>12</v>
      </c>
      <c r="E301" s="5">
        <v>45296</v>
      </c>
      <c r="F301" s="1">
        <v>30.684210526315791</v>
      </c>
      <c r="I301" s="5">
        <v>45299</v>
      </c>
      <c r="J301" s="1">
        <v>6.5</v>
      </c>
    </row>
    <row r="302" spans="1:10" x14ac:dyDescent="0.25">
      <c r="A302" s="5">
        <v>45281</v>
      </c>
      <c r="B302" s="7">
        <v>19</v>
      </c>
      <c r="E302" s="5">
        <v>45297</v>
      </c>
      <c r="F302" s="1">
        <v>37.666666666666664</v>
      </c>
      <c r="I302" s="5">
        <v>45300</v>
      </c>
      <c r="J302" s="1">
        <v>3</v>
      </c>
    </row>
    <row r="303" spans="1:10" x14ac:dyDescent="0.25">
      <c r="A303" s="5">
        <v>45282</v>
      </c>
      <c r="B303" s="7">
        <v>18</v>
      </c>
      <c r="E303" s="5">
        <v>45298</v>
      </c>
      <c r="F303" s="1">
        <v>36.083333333333336</v>
      </c>
      <c r="I303" s="5">
        <v>45301</v>
      </c>
      <c r="J303" s="1">
        <v>4.5</v>
      </c>
    </row>
    <row r="304" spans="1:10" x14ac:dyDescent="0.25">
      <c r="A304" s="5">
        <v>45283</v>
      </c>
      <c r="B304" s="7">
        <v>21</v>
      </c>
      <c r="E304" s="5">
        <v>45299</v>
      </c>
      <c r="F304" s="1">
        <v>43.523809523809526</v>
      </c>
      <c r="I304" s="5">
        <v>45302</v>
      </c>
      <c r="J304" s="1">
        <v>6</v>
      </c>
    </row>
    <row r="305" spans="1:10" x14ac:dyDescent="0.25">
      <c r="A305" s="5">
        <v>45284</v>
      </c>
      <c r="B305" s="7">
        <v>18</v>
      </c>
      <c r="E305" s="5">
        <v>45300</v>
      </c>
      <c r="F305" s="1">
        <v>29.5</v>
      </c>
      <c r="I305" s="5">
        <v>45303</v>
      </c>
      <c r="J305" s="1">
        <v>5.2</v>
      </c>
    </row>
    <row r="306" spans="1:10" x14ac:dyDescent="0.25">
      <c r="A306" s="5">
        <v>45285</v>
      </c>
      <c r="B306" s="7">
        <v>16</v>
      </c>
      <c r="E306" s="5">
        <v>45301</v>
      </c>
      <c r="F306" s="1">
        <v>38.07692307692308</v>
      </c>
      <c r="I306" s="5">
        <v>45304</v>
      </c>
      <c r="J306" s="1">
        <v>4.4000000000000004</v>
      </c>
    </row>
    <row r="307" spans="1:10" x14ac:dyDescent="0.25">
      <c r="A307" s="5">
        <v>45286</v>
      </c>
      <c r="B307" s="7">
        <v>14</v>
      </c>
      <c r="E307" s="5">
        <v>45302</v>
      </c>
      <c r="F307" s="1">
        <v>35.846153846153847</v>
      </c>
      <c r="I307" s="5">
        <v>45305</v>
      </c>
      <c r="J307" s="1">
        <v>3.4545454545454546</v>
      </c>
    </row>
    <row r="308" spans="1:10" x14ac:dyDescent="0.25">
      <c r="A308" s="5">
        <v>45287</v>
      </c>
      <c r="B308" s="7">
        <v>14</v>
      </c>
      <c r="E308" s="5">
        <v>45303</v>
      </c>
      <c r="F308" s="1">
        <v>32.625</v>
      </c>
      <c r="I308" s="5">
        <v>45306</v>
      </c>
      <c r="J308" s="1">
        <v>4.4000000000000004</v>
      </c>
    </row>
    <row r="309" spans="1:10" x14ac:dyDescent="0.25">
      <c r="A309" s="5">
        <v>45288</v>
      </c>
      <c r="B309" s="7">
        <v>16</v>
      </c>
      <c r="E309" s="5">
        <v>45304</v>
      </c>
      <c r="F309" s="1">
        <v>39.200000000000003</v>
      </c>
      <c r="I309" s="5">
        <v>45307</v>
      </c>
      <c r="J309" s="1">
        <v>5.833333333333333</v>
      </c>
    </row>
    <row r="310" spans="1:10" x14ac:dyDescent="0.25">
      <c r="A310" s="5">
        <v>45289</v>
      </c>
      <c r="B310" s="7">
        <v>21</v>
      </c>
      <c r="E310" s="5">
        <v>45305</v>
      </c>
      <c r="F310" s="1">
        <v>35.28</v>
      </c>
      <c r="I310" s="5">
        <v>45308</v>
      </c>
      <c r="J310" s="1">
        <v>4.4444444444444446</v>
      </c>
    </row>
    <row r="311" spans="1:10" x14ac:dyDescent="0.25">
      <c r="A311" s="5">
        <v>45290</v>
      </c>
      <c r="B311" s="7">
        <v>21</v>
      </c>
      <c r="E311" s="5">
        <v>45306</v>
      </c>
      <c r="F311" s="1">
        <v>32.549999999999997</v>
      </c>
      <c r="I311" s="5">
        <v>45309</v>
      </c>
      <c r="J311" s="1">
        <v>5.333333333333333</v>
      </c>
    </row>
    <row r="312" spans="1:10" x14ac:dyDescent="0.25">
      <c r="A312" s="5">
        <v>45291</v>
      </c>
      <c r="B312" s="7">
        <v>15</v>
      </c>
      <c r="E312" s="5">
        <v>45307</v>
      </c>
      <c r="F312" s="1">
        <v>35.642857142857146</v>
      </c>
      <c r="I312" s="5">
        <v>45310</v>
      </c>
      <c r="J312" s="1">
        <v>5.333333333333333</v>
      </c>
    </row>
    <row r="313" spans="1:10" x14ac:dyDescent="0.25">
      <c r="A313" s="5">
        <v>45292</v>
      </c>
      <c r="B313" s="7">
        <v>19</v>
      </c>
      <c r="E313" s="5">
        <v>45308</v>
      </c>
      <c r="F313" s="1">
        <v>38.764705882352942</v>
      </c>
      <c r="I313" s="5">
        <v>45311</v>
      </c>
      <c r="J313" s="1">
        <v>5.5714285714285712</v>
      </c>
    </row>
    <row r="314" spans="1:10" x14ac:dyDescent="0.25">
      <c r="A314" s="5">
        <v>45293</v>
      </c>
      <c r="B314" s="7">
        <v>14</v>
      </c>
      <c r="E314" s="5">
        <v>45309</v>
      </c>
      <c r="F314" s="1">
        <v>39.9</v>
      </c>
      <c r="I314" s="5">
        <v>45312</v>
      </c>
      <c r="J314" s="1">
        <v>5</v>
      </c>
    </row>
    <row r="315" spans="1:10" x14ac:dyDescent="0.25">
      <c r="A315" s="5">
        <v>45294</v>
      </c>
      <c r="B315" s="7">
        <v>13</v>
      </c>
      <c r="E315" s="5">
        <v>45310</v>
      </c>
      <c r="F315" s="1">
        <v>41.6</v>
      </c>
      <c r="I315" s="5">
        <v>45313</v>
      </c>
      <c r="J315" s="1">
        <v>6.4</v>
      </c>
    </row>
    <row r="316" spans="1:10" x14ac:dyDescent="0.25">
      <c r="A316" s="5">
        <v>45295</v>
      </c>
      <c r="B316" s="7">
        <v>22</v>
      </c>
      <c r="E316" s="5">
        <v>45311</v>
      </c>
      <c r="F316" s="1">
        <v>39.470588235294116</v>
      </c>
      <c r="I316" s="5">
        <v>45314</v>
      </c>
      <c r="J316" s="1">
        <v>5.333333333333333</v>
      </c>
    </row>
    <row r="317" spans="1:10" x14ac:dyDescent="0.25">
      <c r="A317" s="5">
        <v>45296</v>
      </c>
      <c r="B317" s="7">
        <v>19</v>
      </c>
      <c r="E317" s="5">
        <v>45312</v>
      </c>
      <c r="F317" s="1">
        <v>27.733333333333334</v>
      </c>
      <c r="I317" s="5">
        <v>45315</v>
      </c>
      <c r="J317" s="1">
        <v>3.75</v>
      </c>
    </row>
    <row r="318" spans="1:10" x14ac:dyDescent="0.25">
      <c r="A318" s="5">
        <v>45297</v>
      </c>
      <c r="B318" s="7">
        <v>15</v>
      </c>
      <c r="E318" s="5">
        <v>45313</v>
      </c>
      <c r="F318" s="1">
        <v>36.875</v>
      </c>
      <c r="I318" s="5">
        <v>45316</v>
      </c>
      <c r="J318" s="1">
        <v>6.333333333333333</v>
      </c>
    </row>
    <row r="319" spans="1:10" x14ac:dyDescent="0.25">
      <c r="A319" s="5">
        <v>45298</v>
      </c>
      <c r="B319" s="7">
        <v>12</v>
      </c>
      <c r="E319" s="5">
        <v>45314</v>
      </c>
      <c r="F319" s="1">
        <v>40.333333333333336</v>
      </c>
      <c r="I319" s="5">
        <v>45317</v>
      </c>
      <c r="J319" s="1">
        <v>10</v>
      </c>
    </row>
    <row r="320" spans="1:10" x14ac:dyDescent="0.25">
      <c r="A320" s="5">
        <v>45299</v>
      </c>
      <c r="B320" s="7">
        <v>21</v>
      </c>
      <c r="E320" s="5">
        <v>45315</v>
      </c>
      <c r="F320" s="1">
        <v>36.5</v>
      </c>
      <c r="I320" s="5">
        <v>45318</v>
      </c>
      <c r="J320" s="1">
        <v>5</v>
      </c>
    </row>
    <row r="321" spans="1:10" x14ac:dyDescent="0.25">
      <c r="A321" s="5">
        <v>45300</v>
      </c>
      <c r="B321" s="7">
        <v>12</v>
      </c>
      <c r="E321" s="5">
        <v>45316</v>
      </c>
      <c r="F321" s="1">
        <v>32.866666666666667</v>
      </c>
      <c r="I321" s="5">
        <v>45319</v>
      </c>
      <c r="J321" s="1">
        <v>5.333333333333333</v>
      </c>
    </row>
    <row r="322" spans="1:10" x14ac:dyDescent="0.25">
      <c r="A322" s="5">
        <v>45301</v>
      </c>
      <c r="B322" s="7">
        <v>13</v>
      </c>
      <c r="E322" s="5">
        <v>45317</v>
      </c>
      <c r="F322" s="1">
        <v>36.642857142857146</v>
      </c>
      <c r="I322" s="5">
        <v>45320</v>
      </c>
      <c r="J322" s="1">
        <v>4.8</v>
      </c>
    </row>
    <row r="323" spans="1:10" x14ac:dyDescent="0.25">
      <c r="A323" s="5">
        <v>45302</v>
      </c>
      <c r="B323" s="7">
        <v>13</v>
      </c>
      <c r="E323" s="5">
        <v>45318</v>
      </c>
      <c r="F323" s="1">
        <v>36.5625</v>
      </c>
      <c r="I323" s="5">
        <v>45321</v>
      </c>
      <c r="J323" s="1">
        <v>5</v>
      </c>
    </row>
    <row r="324" spans="1:10" x14ac:dyDescent="0.25">
      <c r="A324" s="5">
        <v>45303</v>
      </c>
      <c r="B324" s="7">
        <v>16</v>
      </c>
      <c r="E324" s="5">
        <v>45319</v>
      </c>
      <c r="F324" s="1">
        <v>32.15</v>
      </c>
      <c r="I324" s="5">
        <v>45322</v>
      </c>
      <c r="J324" s="1">
        <v>1.4</v>
      </c>
    </row>
    <row r="325" spans="1:10" x14ac:dyDescent="0.25">
      <c r="A325" s="5">
        <v>45304</v>
      </c>
      <c r="B325" s="7">
        <v>20</v>
      </c>
      <c r="E325" s="5">
        <v>45320</v>
      </c>
      <c r="F325" s="1">
        <v>38.368421052631582</v>
      </c>
      <c r="I325" s="5">
        <v>45323</v>
      </c>
      <c r="J325" s="1">
        <v>4.166666666666667</v>
      </c>
    </row>
    <row r="326" spans="1:10" x14ac:dyDescent="0.25">
      <c r="A326" s="5">
        <v>45305</v>
      </c>
      <c r="B326" s="7">
        <v>25</v>
      </c>
      <c r="E326" s="5">
        <v>45321</v>
      </c>
      <c r="F326" s="1">
        <v>33.071428571428569</v>
      </c>
      <c r="I326" s="5">
        <v>45324</v>
      </c>
      <c r="J326" s="1">
        <v>5.75</v>
      </c>
    </row>
    <row r="327" spans="1:10" x14ac:dyDescent="0.25">
      <c r="A327" s="5">
        <v>45306</v>
      </c>
      <c r="B327" s="7">
        <v>20</v>
      </c>
      <c r="E327" s="5">
        <v>45322</v>
      </c>
      <c r="F327" s="1">
        <v>36.444444444444443</v>
      </c>
      <c r="I327" s="5">
        <v>45325</v>
      </c>
      <c r="J327" s="1">
        <v>4.75</v>
      </c>
    </row>
    <row r="328" spans="1:10" x14ac:dyDescent="0.25">
      <c r="A328" s="5">
        <v>45307</v>
      </c>
      <c r="B328" s="7">
        <v>14</v>
      </c>
      <c r="E328" s="5">
        <v>45323</v>
      </c>
      <c r="F328" s="1">
        <v>35.692307692307693</v>
      </c>
      <c r="I328" s="5">
        <v>45326</v>
      </c>
      <c r="J328" s="1">
        <v>7</v>
      </c>
    </row>
    <row r="329" spans="1:10" x14ac:dyDescent="0.25">
      <c r="A329" s="5">
        <v>45308</v>
      </c>
      <c r="B329" s="7">
        <v>17</v>
      </c>
      <c r="E329" s="5">
        <v>45324</v>
      </c>
      <c r="F329" s="1">
        <v>45.4</v>
      </c>
      <c r="I329" s="5">
        <v>45327</v>
      </c>
      <c r="J329" s="1">
        <v>3.1428571428571428</v>
      </c>
    </row>
    <row r="330" spans="1:10" x14ac:dyDescent="0.25">
      <c r="A330" s="5">
        <v>45309</v>
      </c>
      <c r="B330" s="7">
        <v>20</v>
      </c>
      <c r="E330" s="5">
        <v>45325</v>
      </c>
      <c r="F330" s="1">
        <v>29.375</v>
      </c>
      <c r="I330" s="5">
        <v>45328</v>
      </c>
      <c r="J330" s="1">
        <v>8</v>
      </c>
    </row>
    <row r="331" spans="1:10" x14ac:dyDescent="0.25">
      <c r="A331" s="5">
        <v>45310</v>
      </c>
      <c r="B331" s="7">
        <v>10</v>
      </c>
      <c r="E331" s="5">
        <v>45326</v>
      </c>
      <c r="F331" s="1">
        <v>34.583333333333336</v>
      </c>
      <c r="I331" s="5">
        <v>45329</v>
      </c>
      <c r="J331" s="1">
        <v>5.25</v>
      </c>
    </row>
    <row r="332" spans="1:10" x14ac:dyDescent="0.25">
      <c r="A332" s="5">
        <v>45311</v>
      </c>
      <c r="B332" s="7">
        <v>17</v>
      </c>
      <c r="E332" s="5">
        <v>45327</v>
      </c>
      <c r="F332" s="1">
        <v>38.684210526315788</v>
      </c>
      <c r="I332" s="5">
        <v>45330</v>
      </c>
      <c r="J332" s="1">
        <v>4.5714285714285712</v>
      </c>
    </row>
    <row r="333" spans="1:10" x14ac:dyDescent="0.25">
      <c r="A333" s="5">
        <v>45312</v>
      </c>
      <c r="B333" s="7">
        <v>15</v>
      </c>
      <c r="E333" s="5">
        <v>45328</v>
      </c>
      <c r="F333" s="1">
        <v>34.777777777777779</v>
      </c>
      <c r="I333" s="5">
        <v>45331</v>
      </c>
      <c r="J333" s="1">
        <v>2.75</v>
      </c>
    </row>
    <row r="334" spans="1:10" x14ac:dyDescent="0.25">
      <c r="A334" s="5">
        <v>45313</v>
      </c>
      <c r="B334" s="7">
        <v>16</v>
      </c>
      <c r="E334" s="5">
        <v>45329</v>
      </c>
      <c r="F334" s="1">
        <v>37.307692307692307</v>
      </c>
      <c r="I334" s="5">
        <v>45332</v>
      </c>
      <c r="J334" s="1">
        <v>4.5</v>
      </c>
    </row>
    <row r="335" spans="1:10" x14ac:dyDescent="0.25">
      <c r="A335" s="5">
        <v>45314</v>
      </c>
      <c r="B335" s="7">
        <v>18</v>
      </c>
      <c r="E335" s="5">
        <v>45330</v>
      </c>
      <c r="F335" s="1">
        <v>35.631578947368418</v>
      </c>
      <c r="I335" s="5">
        <v>45333</v>
      </c>
      <c r="J335" s="1">
        <v>5.5</v>
      </c>
    </row>
    <row r="336" spans="1:10" x14ac:dyDescent="0.25">
      <c r="A336" s="5">
        <v>45315</v>
      </c>
      <c r="B336" s="7">
        <v>16</v>
      </c>
      <c r="E336" s="5">
        <v>45331</v>
      </c>
      <c r="F336" s="1">
        <v>36.6</v>
      </c>
      <c r="I336" s="5">
        <v>45334</v>
      </c>
      <c r="J336" s="1">
        <v>5.6</v>
      </c>
    </row>
    <row r="337" spans="1:10" x14ac:dyDescent="0.25">
      <c r="A337" s="5">
        <v>45316</v>
      </c>
      <c r="B337" s="7">
        <v>15</v>
      </c>
      <c r="E337" s="5">
        <v>45332</v>
      </c>
      <c r="F337" s="1">
        <v>39.700000000000003</v>
      </c>
      <c r="I337" s="5">
        <v>45335</v>
      </c>
      <c r="J337" s="1">
        <v>5.75</v>
      </c>
    </row>
    <row r="338" spans="1:10" x14ac:dyDescent="0.25">
      <c r="A338" s="5">
        <v>45317</v>
      </c>
      <c r="B338" s="7">
        <v>14</v>
      </c>
      <c r="E338" s="5">
        <v>45333</v>
      </c>
      <c r="F338" s="1">
        <v>37.4</v>
      </c>
      <c r="I338" s="5">
        <v>45336</v>
      </c>
      <c r="J338" s="1">
        <v>3.4444444444444446</v>
      </c>
    </row>
    <row r="339" spans="1:10" x14ac:dyDescent="0.25">
      <c r="A339" s="5">
        <v>45318</v>
      </c>
      <c r="B339" s="7">
        <v>16</v>
      </c>
      <c r="E339" s="5">
        <v>45334</v>
      </c>
      <c r="F339" s="1">
        <v>27.76923076923077</v>
      </c>
      <c r="I339" s="5">
        <v>45337</v>
      </c>
      <c r="J339" s="1">
        <v>1.5</v>
      </c>
    </row>
    <row r="340" spans="1:10" x14ac:dyDescent="0.25">
      <c r="A340" s="5">
        <v>45319</v>
      </c>
      <c r="B340" s="7">
        <v>20</v>
      </c>
      <c r="E340" s="5">
        <v>45335</v>
      </c>
      <c r="F340" s="1">
        <v>38.777777777777779</v>
      </c>
      <c r="I340" s="5">
        <v>45338</v>
      </c>
      <c r="J340" s="1">
        <v>3.6666666666666665</v>
      </c>
    </row>
    <row r="341" spans="1:10" x14ac:dyDescent="0.25">
      <c r="A341" s="5">
        <v>45320</v>
      </c>
      <c r="B341" s="7">
        <v>19</v>
      </c>
      <c r="E341" s="5">
        <v>45336</v>
      </c>
      <c r="F341" s="1">
        <v>31</v>
      </c>
      <c r="I341" s="5">
        <v>45339</v>
      </c>
      <c r="J341" s="1">
        <v>4.4285714285714288</v>
      </c>
    </row>
    <row r="342" spans="1:10" x14ac:dyDescent="0.25">
      <c r="A342" s="5">
        <v>45321</v>
      </c>
      <c r="B342" s="7">
        <v>14</v>
      </c>
      <c r="E342" s="5">
        <v>45337</v>
      </c>
      <c r="F342" s="1">
        <v>35.928571428571431</v>
      </c>
      <c r="I342" s="5">
        <v>45340</v>
      </c>
      <c r="J342" s="1">
        <v>6</v>
      </c>
    </row>
    <row r="343" spans="1:10" x14ac:dyDescent="0.25">
      <c r="A343" s="5">
        <v>45322</v>
      </c>
      <c r="B343" s="7">
        <v>18</v>
      </c>
      <c r="E343" s="5">
        <v>45338</v>
      </c>
      <c r="F343" s="1">
        <v>37.882352941176471</v>
      </c>
      <c r="I343" s="5">
        <v>45341</v>
      </c>
      <c r="J343" s="1">
        <v>2.6666666666666665</v>
      </c>
    </row>
    <row r="344" spans="1:10" x14ac:dyDescent="0.25">
      <c r="A344" s="5">
        <v>45323</v>
      </c>
      <c r="B344" s="7">
        <v>13</v>
      </c>
      <c r="E344" s="5">
        <v>45339</v>
      </c>
      <c r="F344" s="1">
        <v>40.588235294117645</v>
      </c>
      <c r="I344" s="5">
        <v>45342</v>
      </c>
      <c r="J344" s="1">
        <v>7.5</v>
      </c>
    </row>
    <row r="345" spans="1:10" x14ac:dyDescent="0.25">
      <c r="A345" s="5">
        <v>45324</v>
      </c>
      <c r="B345" s="7">
        <v>10</v>
      </c>
      <c r="E345" s="5">
        <v>45340</v>
      </c>
      <c r="F345" s="1">
        <v>34.533333333333331</v>
      </c>
      <c r="I345" s="5">
        <v>45343</v>
      </c>
      <c r="J345" s="1">
        <v>4.5</v>
      </c>
    </row>
    <row r="346" spans="1:10" x14ac:dyDescent="0.25">
      <c r="A346" s="5">
        <v>45325</v>
      </c>
      <c r="B346" s="7">
        <v>8</v>
      </c>
      <c r="E346" s="5">
        <v>45341</v>
      </c>
      <c r="F346" s="1">
        <v>40.333333333333336</v>
      </c>
      <c r="I346" s="5">
        <v>45344</v>
      </c>
      <c r="J346" s="1">
        <v>8</v>
      </c>
    </row>
    <row r="347" spans="1:10" x14ac:dyDescent="0.25">
      <c r="A347" s="5">
        <v>45326</v>
      </c>
      <c r="B347" s="7">
        <v>12</v>
      </c>
      <c r="E347" s="5">
        <v>45342</v>
      </c>
      <c r="F347" s="1">
        <v>35.285714285714285</v>
      </c>
      <c r="I347" s="5">
        <v>45345</v>
      </c>
      <c r="J347" s="1">
        <v>4.3636363636363633</v>
      </c>
    </row>
    <row r="348" spans="1:10" x14ac:dyDescent="0.25">
      <c r="A348" s="5">
        <v>45327</v>
      </c>
      <c r="B348" s="7">
        <v>19</v>
      </c>
      <c r="E348" s="5">
        <v>45343</v>
      </c>
      <c r="F348" s="1">
        <v>35.5</v>
      </c>
      <c r="I348" s="5">
        <v>45346</v>
      </c>
      <c r="J348" s="1">
        <v>0</v>
      </c>
    </row>
    <row r="349" spans="1:10" x14ac:dyDescent="0.25">
      <c r="A349" s="5">
        <v>45328</v>
      </c>
      <c r="B349" s="7">
        <v>9</v>
      </c>
      <c r="E349" s="5">
        <v>45344</v>
      </c>
      <c r="F349" s="1">
        <v>38.5625</v>
      </c>
      <c r="I349" s="5">
        <v>45347</v>
      </c>
      <c r="J349" s="1">
        <v>10</v>
      </c>
    </row>
    <row r="350" spans="1:10" x14ac:dyDescent="0.25">
      <c r="A350" s="5">
        <v>45329</v>
      </c>
      <c r="B350" s="7">
        <v>13</v>
      </c>
      <c r="E350" s="5">
        <v>45345</v>
      </c>
      <c r="F350" s="1">
        <v>42.727272727272727</v>
      </c>
      <c r="I350" s="5">
        <v>45349</v>
      </c>
      <c r="J350" s="1">
        <v>6.75</v>
      </c>
    </row>
    <row r="351" spans="1:10" x14ac:dyDescent="0.25">
      <c r="A351" s="5">
        <v>45330</v>
      </c>
      <c r="B351" s="7">
        <v>19</v>
      </c>
      <c r="E351" s="5">
        <v>45346</v>
      </c>
      <c r="F351" s="1">
        <v>37.416666666666664</v>
      </c>
      <c r="I351" s="5">
        <v>45350</v>
      </c>
      <c r="J351" s="1">
        <v>7</v>
      </c>
    </row>
    <row r="352" spans="1:10" x14ac:dyDescent="0.25">
      <c r="A352" s="5">
        <v>45331</v>
      </c>
      <c r="B352" s="7">
        <v>10</v>
      </c>
      <c r="E352" s="5">
        <v>45347</v>
      </c>
      <c r="F352" s="1">
        <v>32.450000000000003</v>
      </c>
      <c r="I352" s="5">
        <v>45351</v>
      </c>
      <c r="J352" s="1">
        <v>3.3333333333333335</v>
      </c>
    </row>
    <row r="353" spans="1:10" x14ac:dyDescent="0.25">
      <c r="A353" s="5">
        <v>45332</v>
      </c>
      <c r="B353" s="7">
        <v>20</v>
      </c>
      <c r="E353" s="5">
        <v>45348</v>
      </c>
      <c r="F353" s="1">
        <v>40.055555555555557</v>
      </c>
      <c r="I353" s="5">
        <v>45352</v>
      </c>
      <c r="J353" s="1">
        <v>7.2</v>
      </c>
    </row>
    <row r="354" spans="1:10" x14ac:dyDescent="0.25">
      <c r="A354" s="5">
        <v>45333</v>
      </c>
      <c r="B354" s="7">
        <v>15</v>
      </c>
      <c r="E354" s="5">
        <v>45349</v>
      </c>
      <c r="F354" s="1">
        <v>31.666666666666668</v>
      </c>
      <c r="I354" s="5">
        <v>45353</v>
      </c>
      <c r="J354" s="1">
        <v>6</v>
      </c>
    </row>
    <row r="355" spans="1:10" x14ac:dyDescent="0.25">
      <c r="A355" s="5">
        <v>45334</v>
      </c>
      <c r="B355" s="7">
        <v>13</v>
      </c>
      <c r="E355" s="5">
        <v>45350</v>
      </c>
      <c r="F355" s="1">
        <v>39.769230769230766</v>
      </c>
      <c r="I355" s="5">
        <v>45354</v>
      </c>
      <c r="J355" s="1">
        <v>1.5</v>
      </c>
    </row>
    <row r="356" spans="1:10" x14ac:dyDescent="0.25">
      <c r="A356" s="5">
        <v>45335</v>
      </c>
      <c r="B356" s="7">
        <v>9</v>
      </c>
      <c r="E356" s="5">
        <v>45351</v>
      </c>
      <c r="F356" s="1">
        <v>36.733333333333334</v>
      </c>
      <c r="I356" s="5">
        <v>45355</v>
      </c>
      <c r="J356" s="1">
        <v>2.75</v>
      </c>
    </row>
    <row r="357" spans="1:10" x14ac:dyDescent="0.25">
      <c r="A357" s="5">
        <v>45336</v>
      </c>
      <c r="B357" s="7">
        <v>19</v>
      </c>
      <c r="E357" s="5">
        <v>45352</v>
      </c>
      <c r="F357" s="1">
        <v>34.526315789473685</v>
      </c>
      <c r="I357" s="5">
        <v>45356</v>
      </c>
      <c r="J357" s="1">
        <v>5</v>
      </c>
    </row>
    <row r="358" spans="1:10" x14ac:dyDescent="0.25">
      <c r="A358" s="5">
        <v>45337</v>
      </c>
      <c r="B358" s="7">
        <v>14</v>
      </c>
      <c r="E358" s="5">
        <v>45353</v>
      </c>
      <c r="F358" s="1">
        <v>33.708333333333336</v>
      </c>
      <c r="I358" s="5">
        <v>45357</v>
      </c>
      <c r="J358" s="1">
        <v>5.5</v>
      </c>
    </row>
    <row r="359" spans="1:10" x14ac:dyDescent="0.25">
      <c r="A359" s="5">
        <v>45338</v>
      </c>
      <c r="B359" s="7">
        <v>17</v>
      </c>
      <c r="E359" s="5">
        <v>45354</v>
      </c>
      <c r="F359" s="1">
        <v>36.291666666666664</v>
      </c>
      <c r="I359" s="5">
        <v>45358</v>
      </c>
      <c r="J359" s="1">
        <v>5.0909090909090908</v>
      </c>
    </row>
    <row r="360" spans="1:10" x14ac:dyDescent="0.25">
      <c r="A360" s="5">
        <v>45339</v>
      </c>
      <c r="B360" s="7">
        <v>17</v>
      </c>
      <c r="E360" s="5">
        <v>45355</v>
      </c>
      <c r="F360" s="1">
        <v>35.071428571428569</v>
      </c>
      <c r="I360" s="5">
        <v>45359</v>
      </c>
      <c r="J360" s="1">
        <v>7.666666666666667</v>
      </c>
    </row>
    <row r="361" spans="1:10" x14ac:dyDescent="0.25">
      <c r="A361" s="5">
        <v>45340</v>
      </c>
      <c r="B361" s="7">
        <v>15</v>
      </c>
      <c r="E361" s="5">
        <v>45356</v>
      </c>
      <c r="F361" s="1">
        <v>31.571428571428573</v>
      </c>
      <c r="I361" s="5">
        <v>45360</v>
      </c>
      <c r="J361" s="1">
        <v>3.5</v>
      </c>
    </row>
    <row r="362" spans="1:10" x14ac:dyDescent="0.25">
      <c r="A362" s="5">
        <v>45341</v>
      </c>
      <c r="B362" s="7">
        <v>9</v>
      </c>
      <c r="E362" s="5">
        <v>45357</v>
      </c>
      <c r="F362" s="1">
        <v>31.8125</v>
      </c>
      <c r="I362" s="5">
        <v>45361</v>
      </c>
      <c r="J362" s="1">
        <v>3.6666666666666665</v>
      </c>
    </row>
    <row r="363" spans="1:10" x14ac:dyDescent="0.25">
      <c r="A363" s="5">
        <v>45342</v>
      </c>
      <c r="B363" s="7">
        <v>14</v>
      </c>
      <c r="E363" s="5">
        <v>45358</v>
      </c>
      <c r="F363" s="1">
        <v>36.846153846153847</v>
      </c>
      <c r="I363" s="5">
        <v>45362</v>
      </c>
      <c r="J363" s="1">
        <v>3.8</v>
      </c>
    </row>
    <row r="364" spans="1:10" x14ac:dyDescent="0.25">
      <c r="A364" s="5">
        <v>45343</v>
      </c>
      <c r="B364" s="7">
        <v>22</v>
      </c>
      <c r="E364" s="5">
        <v>45359</v>
      </c>
      <c r="F364" s="1">
        <v>34.071428571428569</v>
      </c>
      <c r="I364" s="5">
        <v>45363</v>
      </c>
      <c r="J364" s="1">
        <v>1</v>
      </c>
    </row>
    <row r="365" spans="1:10" x14ac:dyDescent="0.25">
      <c r="A365" s="5">
        <v>45344</v>
      </c>
      <c r="B365" s="7">
        <v>16</v>
      </c>
      <c r="E365" s="5">
        <v>45360</v>
      </c>
      <c r="F365" s="1">
        <v>33</v>
      </c>
      <c r="I365" s="5">
        <v>45364</v>
      </c>
      <c r="J365" s="1">
        <v>7</v>
      </c>
    </row>
    <row r="366" spans="1:10" x14ac:dyDescent="0.25">
      <c r="A366" s="5">
        <v>45345</v>
      </c>
      <c r="B366" s="7">
        <v>22</v>
      </c>
      <c r="E366" s="5">
        <v>45361</v>
      </c>
      <c r="F366" s="1">
        <v>40.222222222222221</v>
      </c>
      <c r="I366" s="5">
        <v>45365</v>
      </c>
      <c r="J366" s="1">
        <v>5</v>
      </c>
    </row>
    <row r="367" spans="1:10" x14ac:dyDescent="0.25">
      <c r="A367" s="5">
        <v>45346</v>
      </c>
      <c r="B367" s="7">
        <v>12</v>
      </c>
      <c r="E367" s="5">
        <v>45362</v>
      </c>
      <c r="F367" s="1">
        <v>42.05</v>
      </c>
      <c r="I367" s="5">
        <v>45366</v>
      </c>
      <c r="J367" s="1">
        <v>4.25</v>
      </c>
    </row>
    <row r="368" spans="1:10" x14ac:dyDescent="0.25">
      <c r="A368" s="5">
        <v>45347</v>
      </c>
      <c r="B368" s="7">
        <v>20</v>
      </c>
      <c r="E368" s="5">
        <v>45363</v>
      </c>
      <c r="F368" s="1">
        <v>42.615384615384613</v>
      </c>
      <c r="I368" s="5">
        <v>45367</v>
      </c>
      <c r="J368" s="1">
        <v>4</v>
      </c>
    </row>
    <row r="369" spans="1:10" x14ac:dyDescent="0.25">
      <c r="A369" s="5">
        <v>45348</v>
      </c>
      <c r="B369" s="7">
        <v>18</v>
      </c>
      <c r="E369" s="5">
        <v>45364</v>
      </c>
      <c r="F369" s="1">
        <v>40.46153846153846</v>
      </c>
      <c r="I369" s="5">
        <v>45368</v>
      </c>
      <c r="J369" s="1">
        <v>7.333333333333333</v>
      </c>
    </row>
    <row r="370" spans="1:10" x14ac:dyDescent="0.25">
      <c r="A370" s="5">
        <v>45349</v>
      </c>
      <c r="B370" s="7">
        <v>18</v>
      </c>
      <c r="E370" s="5">
        <v>45365</v>
      </c>
      <c r="F370" s="1">
        <v>34.071428571428569</v>
      </c>
      <c r="I370" s="5">
        <v>45369</v>
      </c>
      <c r="J370" s="1">
        <v>9</v>
      </c>
    </row>
    <row r="371" spans="1:10" x14ac:dyDescent="0.25">
      <c r="A371" s="5">
        <v>45350</v>
      </c>
      <c r="B371" s="7">
        <v>13</v>
      </c>
      <c r="E371" s="5">
        <v>45366</v>
      </c>
      <c r="F371" s="1">
        <v>33.92307692307692</v>
      </c>
      <c r="I371" s="5">
        <v>45370</v>
      </c>
      <c r="J371" s="1">
        <v>5.25</v>
      </c>
    </row>
    <row r="372" spans="1:10" x14ac:dyDescent="0.25">
      <c r="A372" s="5">
        <v>45351</v>
      </c>
      <c r="B372" s="7">
        <v>15</v>
      </c>
      <c r="E372" s="5">
        <v>45367</v>
      </c>
      <c r="F372" s="1">
        <v>43.166666666666664</v>
      </c>
      <c r="I372" s="5">
        <v>45371</v>
      </c>
      <c r="J372" s="1">
        <v>6.6</v>
      </c>
    </row>
    <row r="373" spans="1:10" x14ac:dyDescent="0.25">
      <c r="A373" s="5">
        <v>45352</v>
      </c>
      <c r="B373" s="7">
        <v>19</v>
      </c>
      <c r="E373" s="5">
        <v>45368</v>
      </c>
      <c r="F373" s="1">
        <v>42.25</v>
      </c>
      <c r="I373" s="5">
        <v>45372</v>
      </c>
      <c r="J373" s="1">
        <v>6.25</v>
      </c>
    </row>
    <row r="374" spans="1:10" x14ac:dyDescent="0.25">
      <c r="A374" s="5">
        <v>45353</v>
      </c>
      <c r="B374" s="7">
        <v>24</v>
      </c>
      <c r="E374" s="5">
        <v>45369</v>
      </c>
      <c r="F374" s="1">
        <v>44.090909090909093</v>
      </c>
      <c r="I374" s="5">
        <v>45373</v>
      </c>
      <c r="J374" s="1">
        <v>6.333333333333333</v>
      </c>
    </row>
    <row r="375" spans="1:10" x14ac:dyDescent="0.25">
      <c r="A375" s="5">
        <v>45354</v>
      </c>
      <c r="B375" s="7">
        <v>24</v>
      </c>
      <c r="E375" s="5">
        <v>45370</v>
      </c>
      <c r="F375" s="1">
        <v>39</v>
      </c>
      <c r="I375" s="5">
        <v>45374</v>
      </c>
      <c r="J375" s="1">
        <v>7</v>
      </c>
    </row>
    <row r="376" spans="1:10" x14ac:dyDescent="0.25">
      <c r="A376" s="5">
        <v>45355</v>
      </c>
      <c r="B376" s="7">
        <v>14</v>
      </c>
      <c r="E376" s="5">
        <v>45371</v>
      </c>
      <c r="F376" s="1">
        <v>31.25</v>
      </c>
      <c r="I376" s="5">
        <v>45375</v>
      </c>
      <c r="J376" s="1">
        <v>5.666666666666667</v>
      </c>
    </row>
    <row r="377" spans="1:10" x14ac:dyDescent="0.25">
      <c r="A377" s="5">
        <v>45356</v>
      </c>
      <c r="B377" s="7">
        <v>14</v>
      </c>
      <c r="E377" s="5">
        <v>45372</v>
      </c>
      <c r="F377" s="1">
        <v>28.5</v>
      </c>
      <c r="I377" s="5">
        <v>45376</v>
      </c>
      <c r="J377" s="1">
        <v>3.3333333333333335</v>
      </c>
    </row>
    <row r="378" spans="1:10" x14ac:dyDescent="0.25">
      <c r="A378" s="5">
        <v>45357</v>
      </c>
      <c r="B378" s="7">
        <v>16</v>
      </c>
      <c r="E378" s="5">
        <v>45373</v>
      </c>
      <c r="F378" s="1">
        <v>34.0625</v>
      </c>
      <c r="I378" s="5">
        <v>45377</v>
      </c>
      <c r="J378" s="1">
        <v>4.75</v>
      </c>
    </row>
    <row r="379" spans="1:10" x14ac:dyDescent="0.25">
      <c r="A379" s="5">
        <v>45358</v>
      </c>
      <c r="B379" s="7">
        <v>26</v>
      </c>
      <c r="E379" s="5">
        <v>45374</v>
      </c>
      <c r="F379" s="1">
        <v>25.2</v>
      </c>
      <c r="I379" s="5">
        <v>45378</v>
      </c>
      <c r="J379" s="1">
        <v>2</v>
      </c>
    </row>
    <row r="380" spans="1:10" x14ac:dyDescent="0.25">
      <c r="A380" s="5">
        <v>45359</v>
      </c>
      <c r="B380" s="7">
        <v>14</v>
      </c>
      <c r="E380" s="5">
        <v>45375</v>
      </c>
      <c r="F380" s="1">
        <v>35.863636363636367</v>
      </c>
      <c r="I380" s="5">
        <v>45379</v>
      </c>
      <c r="J380" s="1">
        <v>9.25</v>
      </c>
    </row>
    <row r="381" spans="1:10" x14ac:dyDescent="0.25">
      <c r="A381" s="5">
        <v>45360</v>
      </c>
      <c r="B381" s="7">
        <v>22</v>
      </c>
      <c r="E381" s="5">
        <v>45376</v>
      </c>
      <c r="F381" s="1">
        <v>39.833333333333336</v>
      </c>
      <c r="I381" s="5">
        <v>45380</v>
      </c>
      <c r="J381" s="1">
        <v>2.6666666666666665</v>
      </c>
    </row>
    <row r="382" spans="1:10" x14ac:dyDescent="0.25">
      <c r="A382" s="5">
        <v>45361</v>
      </c>
      <c r="B382" s="7">
        <v>18</v>
      </c>
      <c r="E382" s="5">
        <v>45377</v>
      </c>
      <c r="F382" s="1">
        <v>37</v>
      </c>
      <c r="I382" s="5">
        <v>45381</v>
      </c>
      <c r="J382" s="1">
        <v>4</v>
      </c>
    </row>
    <row r="383" spans="1:10" x14ac:dyDescent="0.25">
      <c r="A383" s="5">
        <v>45362</v>
      </c>
      <c r="B383" s="7">
        <v>20</v>
      </c>
      <c r="E383" s="5">
        <v>45378</v>
      </c>
      <c r="F383" s="1">
        <v>39.411764705882355</v>
      </c>
      <c r="I383" s="5">
        <v>45382</v>
      </c>
      <c r="J383" s="1">
        <v>8.75</v>
      </c>
    </row>
    <row r="384" spans="1:10" x14ac:dyDescent="0.25">
      <c r="A384" s="5">
        <v>45363</v>
      </c>
      <c r="B384" s="7">
        <v>13</v>
      </c>
      <c r="E384" s="5">
        <v>45379</v>
      </c>
      <c r="F384" s="1">
        <v>30.294117647058822</v>
      </c>
      <c r="I384" s="5">
        <v>45384</v>
      </c>
      <c r="J384" s="1">
        <v>4.5999999999999996</v>
      </c>
    </row>
    <row r="385" spans="1:10" x14ac:dyDescent="0.25">
      <c r="A385" s="5">
        <v>45364</v>
      </c>
      <c r="B385" s="7">
        <v>13</v>
      </c>
      <c r="E385" s="5">
        <v>45380</v>
      </c>
      <c r="F385" s="1">
        <v>32.666666666666664</v>
      </c>
      <c r="I385" s="5">
        <v>45385</v>
      </c>
      <c r="J385" s="1">
        <v>4.5999999999999996</v>
      </c>
    </row>
    <row r="386" spans="1:10" x14ac:dyDescent="0.25">
      <c r="A386" s="5">
        <v>45365</v>
      </c>
      <c r="B386" s="7">
        <v>14</v>
      </c>
      <c r="E386" s="5">
        <v>45381</v>
      </c>
      <c r="F386" s="1">
        <v>30.571428571428573</v>
      </c>
      <c r="I386" s="5">
        <v>45386</v>
      </c>
      <c r="J386" s="1">
        <v>5.666666666666667</v>
      </c>
    </row>
    <row r="387" spans="1:10" x14ac:dyDescent="0.25">
      <c r="A387" s="5">
        <v>45366</v>
      </c>
      <c r="B387" s="7">
        <v>13</v>
      </c>
      <c r="E387" s="5">
        <v>45382</v>
      </c>
      <c r="F387" s="1">
        <v>39.055555555555557</v>
      </c>
      <c r="I387" s="5">
        <v>45387</v>
      </c>
      <c r="J387" s="1">
        <v>3.4</v>
      </c>
    </row>
    <row r="388" spans="1:10" x14ac:dyDescent="0.25">
      <c r="A388" s="5">
        <v>45367</v>
      </c>
      <c r="B388" s="7">
        <v>18</v>
      </c>
      <c r="E388" s="5">
        <v>45383</v>
      </c>
      <c r="F388" s="1">
        <v>31.833333333333332</v>
      </c>
      <c r="I388" s="5">
        <v>45388</v>
      </c>
      <c r="J388" s="1">
        <v>4.333333333333333</v>
      </c>
    </row>
    <row r="389" spans="1:10" x14ac:dyDescent="0.25">
      <c r="A389" s="5">
        <v>45368</v>
      </c>
      <c r="B389" s="7">
        <v>12</v>
      </c>
      <c r="E389" s="5">
        <v>45384</v>
      </c>
      <c r="F389" s="1">
        <v>39.368421052631582</v>
      </c>
      <c r="I389" s="5">
        <v>45389</v>
      </c>
      <c r="J389" s="1">
        <v>4.4000000000000004</v>
      </c>
    </row>
    <row r="390" spans="1:10" x14ac:dyDescent="0.25">
      <c r="A390" s="5">
        <v>45369</v>
      </c>
      <c r="B390" s="7">
        <v>11</v>
      </c>
      <c r="E390" s="5">
        <v>45385</v>
      </c>
      <c r="F390" s="1">
        <v>32.352941176470587</v>
      </c>
      <c r="I390" s="5">
        <v>45390</v>
      </c>
      <c r="J390" s="1">
        <v>4.25</v>
      </c>
    </row>
    <row r="391" spans="1:10" x14ac:dyDescent="0.25">
      <c r="A391" s="5">
        <v>45370</v>
      </c>
      <c r="B391" s="7">
        <v>14</v>
      </c>
      <c r="E391" s="5">
        <v>45386</v>
      </c>
      <c r="F391" s="1">
        <v>34.049999999999997</v>
      </c>
      <c r="I391" s="5">
        <v>45391</v>
      </c>
      <c r="J391" s="1">
        <v>4.5999999999999996</v>
      </c>
    </row>
    <row r="392" spans="1:10" x14ac:dyDescent="0.25">
      <c r="A392" s="5">
        <v>45371</v>
      </c>
      <c r="B392" s="7">
        <v>12</v>
      </c>
      <c r="E392" s="5">
        <v>45387</v>
      </c>
      <c r="F392" s="1">
        <v>31.8</v>
      </c>
      <c r="I392" s="5">
        <v>45393</v>
      </c>
      <c r="J392" s="1">
        <v>2.3333333333333335</v>
      </c>
    </row>
    <row r="393" spans="1:10" x14ac:dyDescent="0.25">
      <c r="A393" s="5">
        <v>45372</v>
      </c>
      <c r="B393" s="7">
        <v>16</v>
      </c>
      <c r="E393" s="5">
        <v>45388</v>
      </c>
      <c r="F393" s="1">
        <v>37.823529411764703</v>
      </c>
      <c r="I393" s="5">
        <v>45394</v>
      </c>
      <c r="J393" s="1">
        <v>9</v>
      </c>
    </row>
    <row r="394" spans="1:10" x14ac:dyDescent="0.25">
      <c r="A394" s="5">
        <v>45373</v>
      </c>
      <c r="B394" s="7">
        <v>16</v>
      </c>
      <c r="E394" s="5">
        <v>45389</v>
      </c>
      <c r="F394" s="1">
        <v>31.875</v>
      </c>
      <c r="I394" s="5">
        <v>45395</v>
      </c>
      <c r="J394" s="1">
        <v>2.75</v>
      </c>
    </row>
    <row r="395" spans="1:10" x14ac:dyDescent="0.25">
      <c r="A395" s="5">
        <v>45374</v>
      </c>
      <c r="B395" s="7">
        <v>15</v>
      </c>
      <c r="E395" s="5">
        <v>45390</v>
      </c>
      <c r="F395" s="1">
        <v>27.3</v>
      </c>
      <c r="I395" s="5">
        <v>45396</v>
      </c>
      <c r="J395" s="1">
        <v>6.8888888888888893</v>
      </c>
    </row>
    <row r="396" spans="1:10" x14ac:dyDescent="0.25">
      <c r="A396" s="5">
        <v>45375</v>
      </c>
      <c r="B396" s="7">
        <v>22</v>
      </c>
      <c r="E396" s="5">
        <v>45391</v>
      </c>
      <c r="F396" s="1">
        <v>31.933333333333334</v>
      </c>
      <c r="I396" s="5">
        <v>45397</v>
      </c>
      <c r="J396" s="1">
        <v>5</v>
      </c>
    </row>
    <row r="397" spans="1:10" x14ac:dyDescent="0.25">
      <c r="A397" s="5">
        <v>45376</v>
      </c>
      <c r="B397" s="7">
        <v>18</v>
      </c>
      <c r="E397" s="5">
        <v>45392</v>
      </c>
      <c r="F397" s="1">
        <v>30.5</v>
      </c>
      <c r="I397" s="5">
        <v>45398</v>
      </c>
      <c r="J397" s="1">
        <v>4.166666666666667</v>
      </c>
    </row>
    <row r="398" spans="1:10" x14ac:dyDescent="0.25">
      <c r="A398" s="5">
        <v>45377</v>
      </c>
      <c r="B398" s="7">
        <v>10</v>
      </c>
      <c r="E398" s="5">
        <v>45393</v>
      </c>
      <c r="F398" s="1">
        <v>38.0625</v>
      </c>
      <c r="I398" s="5">
        <v>45399</v>
      </c>
      <c r="J398" s="1">
        <v>2.5</v>
      </c>
    </row>
    <row r="399" spans="1:10" x14ac:dyDescent="0.25">
      <c r="A399" s="5">
        <v>45378</v>
      </c>
      <c r="B399" s="7">
        <v>17</v>
      </c>
      <c r="E399" s="5">
        <v>45394</v>
      </c>
      <c r="F399" s="1">
        <v>36.333333333333336</v>
      </c>
      <c r="I399" s="5">
        <v>45400</v>
      </c>
      <c r="J399" s="1">
        <v>6</v>
      </c>
    </row>
    <row r="400" spans="1:10" x14ac:dyDescent="0.25">
      <c r="A400" s="5">
        <v>45379</v>
      </c>
      <c r="B400" s="7">
        <v>17</v>
      </c>
      <c r="E400" s="5">
        <v>45395</v>
      </c>
      <c r="F400" s="1">
        <v>27</v>
      </c>
      <c r="I400" s="5">
        <v>45401</v>
      </c>
      <c r="J400" s="1">
        <v>3.8</v>
      </c>
    </row>
    <row r="401" spans="1:10" x14ac:dyDescent="0.25">
      <c r="A401" s="5">
        <v>45380</v>
      </c>
      <c r="B401" s="7">
        <v>12</v>
      </c>
      <c r="E401" s="5">
        <v>45396</v>
      </c>
      <c r="F401" s="1">
        <v>37.46153846153846</v>
      </c>
      <c r="I401" s="5">
        <v>45402</v>
      </c>
      <c r="J401" s="1">
        <v>3.6</v>
      </c>
    </row>
    <row r="402" spans="1:10" x14ac:dyDescent="0.25">
      <c r="A402" s="5">
        <v>45381</v>
      </c>
      <c r="B402" s="7">
        <v>14</v>
      </c>
      <c r="E402" s="5">
        <v>45397</v>
      </c>
      <c r="F402" s="1">
        <v>39.25</v>
      </c>
      <c r="I402" s="5">
        <v>45404</v>
      </c>
      <c r="J402" s="1">
        <v>5.8571428571428568</v>
      </c>
    </row>
    <row r="403" spans="1:10" x14ac:dyDescent="0.25">
      <c r="A403" s="5">
        <v>45382</v>
      </c>
      <c r="B403" s="7">
        <v>18</v>
      </c>
      <c r="E403" s="5">
        <v>45398</v>
      </c>
      <c r="F403" s="1">
        <v>33.647058823529413</v>
      </c>
      <c r="I403" s="5">
        <v>45405</v>
      </c>
      <c r="J403" s="1">
        <v>6.25</v>
      </c>
    </row>
    <row r="404" spans="1:10" x14ac:dyDescent="0.25">
      <c r="A404" s="5">
        <v>45383</v>
      </c>
      <c r="B404" s="7">
        <v>12</v>
      </c>
      <c r="E404" s="5">
        <v>45399</v>
      </c>
      <c r="F404" s="1">
        <v>42.2</v>
      </c>
      <c r="I404" s="5">
        <v>45406</v>
      </c>
      <c r="J404" s="1">
        <v>4.666666666666667</v>
      </c>
    </row>
    <row r="405" spans="1:10" x14ac:dyDescent="0.25">
      <c r="A405" s="5">
        <v>45384</v>
      </c>
      <c r="B405" s="7">
        <v>19</v>
      </c>
      <c r="E405" s="5">
        <v>45400</v>
      </c>
      <c r="F405" s="1">
        <v>33.3125</v>
      </c>
      <c r="I405" s="5">
        <v>45407</v>
      </c>
      <c r="J405" s="1">
        <v>0</v>
      </c>
    </row>
    <row r="406" spans="1:10" x14ac:dyDescent="0.25">
      <c r="A406" s="5">
        <v>45385</v>
      </c>
      <c r="B406" s="7">
        <v>17</v>
      </c>
      <c r="E406" s="5">
        <v>45401</v>
      </c>
      <c r="F406" s="1">
        <v>25.76923076923077</v>
      </c>
      <c r="I406" s="5">
        <v>45408</v>
      </c>
      <c r="J406" s="1">
        <v>4.666666666666667</v>
      </c>
    </row>
    <row r="407" spans="1:10" x14ac:dyDescent="0.25">
      <c r="A407" s="5">
        <v>45386</v>
      </c>
      <c r="B407" s="7">
        <v>20</v>
      </c>
      <c r="E407" s="5">
        <v>45402</v>
      </c>
      <c r="F407" s="1">
        <v>37.125</v>
      </c>
      <c r="I407" s="5">
        <v>45409</v>
      </c>
      <c r="J407" s="1">
        <v>2.8</v>
      </c>
    </row>
    <row r="408" spans="1:10" x14ac:dyDescent="0.25">
      <c r="A408" s="5">
        <v>45387</v>
      </c>
      <c r="B408" s="7">
        <v>15</v>
      </c>
      <c r="E408" s="5">
        <v>45403</v>
      </c>
      <c r="F408" s="1">
        <v>37</v>
      </c>
      <c r="I408" s="5">
        <v>45410</v>
      </c>
      <c r="J408" s="1">
        <v>4.2</v>
      </c>
    </row>
    <row r="409" spans="1:10" x14ac:dyDescent="0.25">
      <c r="A409" s="5">
        <v>45388</v>
      </c>
      <c r="B409" s="7">
        <v>17</v>
      </c>
      <c r="E409" s="5">
        <v>45404</v>
      </c>
      <c r="F409" s="1">
        <v>36.80952380952381</v>
      </c>
      <c r="I409" s="5">
        <v>45411</v>
      </c>
      <c r="J409" s="1">
        <v>2.5</v>
      </c>
    </row>
    <row r="410" spans="1:10" x14ac:dyDescent="0.25">
      <c r="A410" s="5">
        <v>45389</v>
      </c>
      <c r="B410" s="7">
        <v>16</v>
      </c>
      <c r="E410" s="5">
        <v>45405</v>
      </c>
      <c r="F410" s="1">
        <v>39.799999999999997</v>
      </c>
      <c r="I410" s="5">
        <v>45412</v>
      </c>
      <c r="J410" s="1">
        <v>5</v>
      </c>
    </row>
    <row r="411" spans="1:10" x14ac:dyDescent="0.25">
      <c r="A411" s="5">
        <v>45390</v>
      </c>
      <c r="B411" s="7">
        <v>10</v>
      </c>
      <c r="E411" s="5">
        <v>45406</v>
      </c>
      <c r="F411" s="1">
        <v>38</v>
      </c>
      <c r="I411" s="5">
        <v>45413</v>
      </c>
      <c r="J411" s="1">
        <v>7.4</v>
      </c>
    </row>
    <row r="412" spans="1:10" x14ac:dyDescent="0.25">
      <c r="A412" s="5">
        <v>45391</v>
      </c>
      <c r="B412" s="7">
        <v>15</v>
      </c>
      <c r="E412" s="5">
        <v>45407</v>
      </c>
      <c r="F412" s="1">
        <v>36.133333333333333</v>
      </c>
      <c r="I412" s="5">
        <v>45414</v>
      </c>
      <c r="J412" s="1">
        <v>5.6</v>
      </c>
    </row>
    <row r="413" spans="1:10" x14ac:dyDescent="0.25">
      <c r="A413" s="5">
        <v>45392</v>
      </c>
      <c r="B413" s="7">
        <v>14</v>
      </c>
      <c r="E413" s="5">
        <v>45408</v>
      </c>
      <c r="F413" s="1">
        <v>36.555555555555557</v>
      </c>
      <c r="I413" s="5">
        <v>45415</v>
      </c>
      <c r="J413" s="1">
        <v>6.7142857142857144</v>
      </c>
    </row>
    <row r="414" spans="1:10" x14ac:dyDescent="0.25">
      <c r="A414" s="5">
        <v>45393</v>
      </c>
      <c r="B414" s="7">
        <v>16</v>
      </c>
      <c r="E414" s="5">
        <v>45409</v>
      </c>
      <c r="F414" s="1">
        <v>39.210526315789473</v>
      </c>
      <c r="I414" s="5">
        <v>45416</v>
      </c>
      <c r="J414" s="1">
        <v>6</v>
      </c>
    </row>
    <row r="415" spans="1:10" x14ac:dyDescent="0.25">
      <c r="A415" s="5">
        <v>45394</v>
      </c>
      <c r="B415" s="7">
        <v>12</v>
      </c>
      <c r="E415" s="5">
        <v>45410</v>
      </c>
      <c r="F415" s="1">
        <v>31.1875</v>
      </c>
      <c r="I415" s="5">
        <v>45417</v>
      </c>
      <c r="J415" s="1">
        <v>4</v>
      </c>
    </row>
    <row r="416" spans="1:10" x14ac:dyDescent="0.25">
      <c r="A416" s="5">
        <v>45395</v>
      </c>
      <c r="B416" s="7">
        <v>12</v>
      </c>
      <c r="E416" s="5">
        <v>45411</v>
      </c>
      <c r="F416" s="1">
        <v>35.153846153846153</v>
      </c>
      <c r="I416" s="5">
        <v>45418</v>
      </c>
      <c r="J416" s="1">
        <v>4.7142857142857144</v>
      </c>
    </row>
    <row r="417" spans="1:10" x14ac:dyDescent="0.25">
      <c r="A417" s="5">
        <v>45396</v>
      </c>
      <c r="B417" s="7">
        <v>13</v>
      </c>
      <c r="E417" s="5">
        <v>45412</v>
      </c>
      <c r="F417" s="1">
        <v>34.25</v>
      </c>
      <c r="I417" s="5">
        <v>45419</v>
      </c>
      <c r="J417" s="1">
        <v>1.8</v>
      </c>
    </row>
    <row r="418" spans="1:10" x14ac:dyDescent="0.25">
      <c r="A418" s="5">
        <v>45397</v>
      </c>
      <c r="B418" s="7">
        <v>20</v>
      </c>
      <c r="E418" s="5">
        <v>45413</v>
      </c>
      <c r="F418" s="1">
        <v>35.642857142857146</v>
      </c>
      <c r="I418" s="5">
        <v>45420</v>
      </c>
      <c r="J418" s="1">
        <v>4.833333333333333</v>
      </c>
    </row>
    <row r="419" spans="1:10" x14ac:dyDescent="0.25">
      <c r="A419" s="5">
        <v>45398</v>
      </c>
      <c r="B419" s="7">
        <v>17</v>
      </c>
      <c r="E419" s="5">
        <v>45414</v>
      </c>
      <c r="F419" s="1">
        <v>27</v>
      </c>
      <c r="I419" s="5">
        <v>45421</v>
      </c>
      <c r="J419" s="1">
        <v>4.25</v>
      </c>
    </row>
    <row r="420" spans="1:10" x14ac:dyDescent="0.25">
      <c r="A420" s="5">
        <v>45399</v>
      </c>
      <c r="B420" s="7">
        <v>10</v>
      </c>
      <c r="E420" s="5">
        <v>45415</v>
      </c>
      <c r="F420" s="1">
        <v>36.047619047619051</v>
      </c>
      <c r="I420" s="5">
        <v>45422</v>
      </c>
      <c r="J420" s="1">
        <v>4.5999999999999996</v>
      </c>
    </row>
    <row r="421" spans="1:10" x14ac:dyDescent="0.25">
      <c r="A421" s="5">
        <v>45400</v>
      </c>
      <c r="B421" s="7">
        <v>16</v>
      </c>
      <c r="E421" s="5">
        <v>45416</v>
      </c>
      <c r="F421" s="1">
        <v>38.866666666666667</v>
      </c>
      <c r="I421" s="5">
        <v>45423</v>
      </c>
      <c r="J421" s="1">
        <v>6.5</v>
      </c>
    </row>
    <row r="422" spans="1:10" x14ac:dyDescent="0.25">
      <c r="A422" s="5">
        <v>45401</v>
      </c>
      <c r="B422" s="7">
        <v>13</v>
      </c>
      <c r="E422" s="5">
        <v>45417</v>
      </c>
      <c r="F422" s="1">
        <v>35.909090909090907</v>
      </c>
      <c r="I422" s="5">
        <v>45424</v>
      </c>
      <c r="J422" s="1">
        <v>5</v>
      </c>
    </row>
    <row r="423" spans="1:10" x14ac:dyDescent="0.25">
      <c r="A423" s="5">
        <v>45402</v>
      </c>
      <c r="B423" s="7">
        <v>16</v>
      </c>
      <c r="E423" s="5">
        <v>45418</v>
      </c>
      <c r="F423" s="1">
        <v>38.470588235294116</v>
      </c>
      <c r="I423" s="5">
        <v>45425</v>
      </c>
      <c r="J423" s="1">
        <v>6</v>
      </c>
    </row>
    <row r="424" spans="1:10" x14ac:dyDescent="0.25">
      <c r="A424" s="5">
        <v>45403</v>
      </c>
      <c r="B424" s="7">
        <v>18</v>
      </c>
      <c r="E424" s="5">
        <v>45419</v>
      </c>
      <c r="F424" s="1">
        <v>36.733333333333334</v>
      </c>
      <c r="I424" s="5">
        <v>45426</v>
      </c>
      <c r="J424" s="1">
        <v>4.7142857142857144</v>
      </c>
    </row>
    <row r="425" spans="1:10" x14ac:dyDescent="0.25">
      <c r="A425" s="5">
        <v>45404</v>
      </c>
      <c r="B425" s="7">
        <v>21</v>
      </c>
      <c r="E425" s="5">
        <v>45420</v>
      </c>
      <c r="F425" s="1">
        <v>34.588235294117645</v>
      </c>
      <c r="I425" s="5">
        <v>45427</v>
      </c>
      <c r="J425" s="1">
        <v>4.2</v>
      </c>
    </row>
    <row r="426" spans="1:10" x14ac:dyDescent="0.25">
      <c r="A426" s="5">
        <v>45405</v>
      </c>
      <c r="B426" s="7">
        <v>15</v>
      </c>
      <c r="E426" s="5">
        <v>45421</v>
      </c>
      <c r="F426" s="1">
        <v>37.53846153846154</v>
      </c>
      <c r="I426" s="5">
        <v>45428</v>
      </c>
      <c r="J426" s="1">
        <v>7.2</v>
      </c>
    </row>
    <row r="427" spans="1:10" x14ac:dyDescent="0.25">
      <c r="A427" s="5">
        <v>45406</v>
      </c>
      <c r="B427" s="7">
        <v>18</v>
      </c>
      <c r="E427" s="5">
        <v>45422</v>
      </c>
      <c r="F427" s="1">
        <v>31.708333333333332</v>
      </c>
      <c r="I427" s="5">
        <v>45429</v>
      </c>
      <c r="J427" s="1">
        <v>4.333333333333333</v>
      </c>
    </row>
    <row r="428" spans="1:10" x14ac:dyDescent="0.25">
      <c r="A428" s="5">
        <v>45407</v>
      </c>
      <c r="B428" s="7">
        <v>15</v>
      </c>
      <c r="E428" s="5">
        <v>45423</v>
      </c>
      <c r="F428" s="1">
        <v>28.923076923076923</v>
      </c>
      <c r="I428" s="5">
        <v>45430</v>
      </c>
      <c r="J428" s="1">
        <v>3.7777777777777777</v>
      </c>
    </row>
    <row r="429" spans="1:10" x14ac:dyDescent="0.25">
      <c r="A429" s="5">
        <v>45408</v>
      </c>
      <c r="B429" s="7">
        <v>18</v>
      </c>
      <c r="E429" s="5">
        <v>45424</v>
      </c>
      <c r="F429" s="1">
        <v>42.071428571428569</v>
      </c>
      <c r="I429" s="5">
        <v>45431</v>
      </c>
      <c r="J429" s="1">
        <v>3.6666666666666665</v>
      </c>
    </row>
    <row r="430" spans="1:10" x14ac:dyDescent="0.25">
      <c r="A430" s="5">
        <v>45409</v>
      </c>
      <c r="B430" s="7">
        <v>19</v>
      </c>
      <c r="E430" s="5">
        <v>45425</v>
      </c>
      <c r="F430" s="1">
        <v>35.833333333333336</v>
      </c>
      <c r="I430" s="5">
        <v>45432</v>
      </c>
      <c r="J430" s="1">
        <v>4</v>
      </c>
    </row>
    <row r="431" spans="1:10" x14ac:dyDescent="0.25">
      <c r="A431" s="5">
        <v>45410</v>
      </c>
      <c r="B431" s="7">
        <v>16</v>
      </c>
      <c r="E431" s="5">
        <v>45426</v>
      </c>
      <c r="F431" s="1">
        <v>28.727272727272727</v>
      </c>
      <c r="I431" s="5">
        <v>45433</v>
      </c>
      <c r="J431" s="1">
        <v>5.833333333333333</v>
      </c>
    </row>
    <row r="432" spans="1:10" x14ac:dyDescent="0.25">
      <c r="A432" s="5">
        <v>45411</v>
      </c>
      <c r="B432" s="7">
        <v>13</v>
      </c>
      <c r="E432" s="5">
        <v>45427</v>
      </c>
      <c r="F432" s="1">
        <v>35.75</v>
      </c>
      <c r="I432" s="5">
        <v>45434</v>
      </c>
      <c r="J432" s="1">
        <v>5.666666666666667</v>
      </c>
    </row>
    <row r="433" spans="1:10" x14ac:dyDescent="0.25">
      <c r="A433" s="5">
        <v>45412</v>
      </c>
      <c r="B433" s="7">
        <v>16</v>
      </c>
      <c r="E433" s="5">
        <v>45428</v>
      </c>
      <c r="F433" s="1">
        <v>34.75</v>
      </c>
      <c r="I433" s="5">
        <v>45435</v>
      </c>
      <c r="J433" s="1">
        <v>5.5</v>
      </c>
    </row>
    <row r="434" spans="1:10" x14ac:dyDescent="0.25">
      <c r="A434" s="5">
        <v>45413</v>
      </c>
      <c r="B434" s="7">
        <v>14</v>
      </c>
      <c r="E434" s="5">
        <v>45429</v>
      </c>
      <c r="F434" s="1">
        <v>37.666666666666664</v>
      </c>
      <c r="I434" s="5">
        <v>45436</v>
      </c>
      <c r="J434" s="1">
        <v>5.5</v>
      </c>
    </row>
    <row r="435" spans="1:10" x14ac:dyDescent="0.25">
      <c r="A435" s="5">
        <v>45414</v>
      </c>
      <c r="B435" s="7">
        <v>21</v>
      </c>
      <c r="E435" s="5">
        <v>45430</v>
      </c>
      <c r="F435" s="1">
        <v>40.421052631578945</v>
      </c>
      <c r="I435" s="5">
        <v>45437</v>
      </c>
      <c r="J435" s="1">
        <v>7</v>
      </c>
    </row>
    <row r="436" spans="1:10" x14ac:dyDescent="0.25">
      <c r="A436" s="5">
        <v>45415</v>
      </c>
      <c r="B436" s="7">
        <v>21</v>
      </c>
      <c r="E436" s="5">
        <v>45431</v>
      </c>
      <c r="F436" s="1">
        <v>33.75</v>
      </c>
      <c r="I436" s="5">
        <v>45438</v>
      </c>
      <c r="J436" s="1">
        <v>7</v>
      </c>
    </row>
    <row r="437" spans="1:10" x14ac:dyDescent="0.25">
      <c r="A437" s="5">
        <v>45416</v>
      </c>
      <c r="B437" s="7">
        <v>15</v>
      </c>
      <c r="E437" s="5">
        <v>45432</v>
      </c>
      <c r="F437" s="1">
        <v>32.764705882352942</v>
      </c>
      <c r="I437" s="5">
        <v>45439</v>
      </c>
      <c r="J437" s="1">
        <v>4</v>
      </c>
    </row>
    <row r="438" spans="1:10" x14ac:dyDescent="0.25">
      <c r="A438" s="5">
        <v>45417</v>
      </c>
      <c r="B438" s="7">
        <v>11</v>
      </c>
      <c r="E438" s="5">
        <v>45433</v>
      </c>
      <c r="F438" s="1">
        <v>37.357142857142854</v>
      </c>
      <c r="I438" s="5">
        <v>45440</v>
      </c>
      <c r="J438" s="1">
        <v>4.4444444444444446</v>
      </c>
    </row>
    <row r="439" spans="1:10" x14ac:dyDescent="0.25">
      <c r="A439" s="5">
        <v>45418</v>
      </c>
      <c r="B439" s="7">
        <v>17</v>
      </c>
      <c r="E439" s="5">
        <v>45434</v>
      </c>
      <c r="F439" s="1">
        <v>37.227272727272727</v>
      </c>
      <c r="I439" s="5">
        <v>45441</v>
      </c>
      <c r="J439" s="1">
        <v>4.8571428571428568</v>
      </c>
    </row>
    <row r="440" spans="1:10" x14ac:dyDescent="0.25">
      <c r="A440" s="5">
        <v>45419</v>
      </c>
      <c r="B440" s="7">
        <v>15</v>
      </c>
      <c r="E440" s="5">
        <v>45435</v>
      </c>
      <c r="F440" s="1">
        <v>36.700000000000003</v>
      </c>
      <c r="I440" s="5">
        <v>45442</v>
      </c>
      <c r="J440" s="1">
        <v>5.5714285714285712</v>
      </c>
    </row>
    <row r="441" spans="1:10" x14ac:dyDescent="0.25">
      <c r="A441" s="5">
        <v>45420</v>
      </c>
      <c r="B441" s="7">
        <v>17</v>
      </c>
      <c r="E441" s="5">
        <v>45436</v>
      </c>
      <c r="F441" s="1">
        <v>43.058823529411768</v>
      </c>
      <c r="I441" s="5">
        <v>45443</v>
      </c>
      <c r="J441" s="1">
        <v>6</v>
      </c>
    </row>
    <row r="442" spans="1:10" x14ac:dyDescent="0.25">
      <c r="A442" s="5">
        <v>45421</v>
      </c>
      <c r="B442" s="7">
        <v>13</v>
      </c>
      <c r="E442" s="5">
        <v>45437</v>
      </c>
      <c r="F442" s="1">
        <v>39.777777777777779</v>
      </c>
      <c r="I442" s="5">
        <v>45444</v>
      </c>
      <c r="J442" s="1">
        <v>4.75</v>
      </c>
    </row>
    <row r="443" spans="1:10" x14ac:dyDescent="0.25">
      <c r="A443" s="5">
        <v>45422</v>
      </c>
      <c r="B443" s="7">
        <v>24</v>
      </c>
      <c r="E443" s="5">
        <v>45438</v>
      </c>
      <c r="F443" s="1">
        <v>40.692307692307693</v>
      </c>
      <c r="I443" s="5">
        <v>45445</v>
      </c>
      <c r="J443" s="1">
        <v>5.2</v>
      </c>
    </row>
    <row r="444" spans="1:10" x14ac:dyDescent="0.25">
      <c r="A444" s="5">
        <v>45423</v>
      </c>
      <c r="B444" s="7">
        <v>13</v>
      </c>
      <c r="E444" s="5">
        <v>45439</v>
      </c>
      <c r="F444" s="1">
        <v>34.46153846153846</v>
      </c>
      <c r="I444" s="5">
        <v>45446</v>
      </c>
      <c r="J444" s="1">
        <v>3.375</v>
      </c>
    </row>
    <row r="445" spans="1:10" x14ac:dyDescent="0.25">
      <c r="A445" s="5">
        <v>45424</v>
      </c>
      <c r="B445" s="7">
        <v>14</v>
      </c>
      <c r="E445" s="5">
        <v>45440</v>
      </c>
      <c r="F445" s="1">
        <v>30.307692307692307</v>
      </c>
      <c r="I445" s="5">
        <v>45447</v>
      </c>
      <c r="J445" s="1">
        <v>5.8</v>
      </c>
    </row>
    <row r="446" spans="1:10" x14ac:dyDescent="0.25">
      <c r="A446" s="5">
        <v>45425</v>
      </c>
      <c r="B446" s="7">
        <v>12</v>
      </c>
      <c r="E446" s="5">
        <v>45441</v>
      </c>
      <c r="F446" s="1">
        <v>38.5</v>
      </c>
      <c r="I446" s="5">
        <v>45448</v>
      </c>
      <c r="J446" s="1">
        <v>4.375</v>
      </c>
    </row>
    <row r="447" spans="1:10" x14ac:dyDescent="0.25">
      <c r="A447" s="5">
        <v>45426</v>
      </c>
      <c r="B447" s="7">
        <v>11</v>
      </c>
      <c r="E447" s="5">
        <v>45442</v>
      </c>
      <c r="F447" s="1">
        <v>35.333333333333336</v>
      </c>
      <c r="I447" s="5">
        <v>45449</v>
      </c>
      <c r="J447" s="1">
        <v>3</v>
      </c>
    </row>
    <row r="448" spans="1:10" x14ac:dyDescent="0.25">
      <c r="A448" s="5">
        <v>45427</v>
      </c>
      <c r="B448" s="7">
        <v>16</v>
      </c>
      <c r="E448" s="5">
        <v>45443</v>
      </c>
      <c r="F448" s="1">
        <v>32.421052631578945</v>
      </c>
      <c r="I448" s="5">
        <v>45450</v>
      </c>
      <c r="J448" s="1">
        <v>5</v>
      </c>
    </row>
    <row r="449" spans="1:10" x14ac:dyDescent="0.25">
      <c r="A449" s="5">
        <v>45428</v>
      </c>
      <c r="B449" s="7">
        <v>20</v>
      </c>
      <c r="E449" s="5">
        <v>45444</v>
      </c>
      <c r="F449" s="1">
        <v>33.352941176470587</v>
      </c>
      <c r="I449" s="5">
        <v>45451</v>
      </c>
      <c r="J449" s="1">
        <v>3</v>
      </c>
    </row>
    <row r="450" spans="1:10" x14ac:dyDescent="0.25">
      <c r="A450" s="5">
        <v>45429</v>
      </c>
      <c r="B450" s="7">
        <v>15</v>
      </c>
      <c r="E450" s="5">
        <v>45445</v>
      </c>
      <c r="F450" s="1">
        <v>38.4</v>
      </c>
      <c r="I450" s="5">
        <v>45452</v>
      </c>
      <c r="J450" s="1">
        <v>4.9090909090909092</v>
      </c>
    </row>
    <row r="451" spans="1:10" x14ac:dyDescent="0.25">
      <c r="A451" s="5">
        <v>45430</v>
      </c>
      <c r="B451" s="7">
        <v>19</v>
      </c>
      <c r="E451" s="5">
        <v>45446</v>
      </c>
      <c r="F451" s="1">
        <v>38.521739130434781</v>
      </c>
      <c r="I451" s="5">
        <v>45453</v>
      </c>
      <c r="J451" s="1">
        <v>3.8333333333333335</v>
      </c>
    </row>
    <row r="452" spans="1:10" x14ac:dyDescent="0.25">
      <c r="A452" s="5">
        <v>45431</v>
      </c>
      <c r="B452" s="7">
        <v>16</v>
      </c>
      <c r="E452" s="5">
        <v>45447</v>
      </c>
      <c r="F452" s="1">
        <v>30.4</v>
      </c>
      <c r="I452" s="5">
        <v>45454</v>
      </c>
      <c r="J452" s="1">
        <v>3.875</v>
      </c>
    </row>
    <row r="453" spans="1:10" x14ac:dyDescent="0.25">
      <c r="A453" s="5">
        <v>45432</v>
      </c>
      <c r="B453" s="7">
        <v>17</v>
      </c>
      <c r="E453" s="5">
        <v>45448</v>
      </c>
      <c r="F453" s="1">
        <v>33.142857142857146</v>
      </c>
      <c r="I453" s="5">
        <v>45455</v>
      </c>
      <c r="J453" s="1">
        <v>4.333333333333333</v>
      </c>
    </row>
    <row r="454" spans="1:10" x14ac:dyDescent="0.25">
      <c r="A454" s="5">
        <v>45433</v>
      </c>
      <c r="B454" s="7">
        <v>28</v>
      </c>
      <c r="E454" s="5">
        <v>45449</v>
      </c>
      <c r="F454" s="1">
        <v>38.18181818181818</v>
      </c>
      <c r="I454" s="5">
        <v>45456</v>
      </c>
      <c r="J454" s="1">
        <v>3.5</v>
      </c>
    </row>
    <row r="455" spans="1:10" x14ac:dyDescent="0.25">
      <c r="A455" s="5">
        <v>45434</v>
      </c>
      <c r="B455" s="7">
        <v>22</v>
      </c>
      <c r="E455" s="5">
        <v>45450</v>
      </c>
      <c r="F455" s="1">
        <v>39.733333333333334</v>
      </c>
      <c r="I455" s="5">
        <v>45457</v>
      </c>
      <c r="J455" s="1">
        <v>5.4</v>
      </c>
    </row>
    <row r="456" spans="1:10" x14ac:dyDescent="0.25">
      <c r="A456" s="5">
        <v>45435</v>
      </c>
      <c r="B456" s="7">
        <v>20</v>
      </c>
      <c r="E456" s="5">
        <v>45451</v>
      </c>
      <c r="F456" s="1">
        <v>37</v>
      </c>
      <c r="I456" s="5">
        <v>45458</v>
      </c>
      <c r="J456" s="1">
        <v>5.375</v>
      </c>
    </row>
    <row r="457" spans="1:10" x14ac:dyDescent="0.25">
      <c r="A457" s="5">
        <v>45436</v>
      </c>
      <c r="B457" s="7">
        <v>17</v>
      </c>
      <c r="E457" s="5">
        <v>45452</v>
      </c>
      <c r="F457" s="1">
        <v>35.61904761904762</v>
      </c>
      <c r="I457" s="5">
        <v>45459</v>
      </c>
      <c r="J457" s="1">
        <v>3.3333333333333335</v>
      </c>
    </row>
    <row r="458" spans="1:10" x14ac:dyDescent="0.25">
      <c r="A458" s="5">
        <v>45437</v>
      </c>
      <c r="B458" s="7">
        <v>18</v>
      </c>
      <c r="E458" s="5">
        <v>45453</v>
      </c>
      <c r="F458" s="1">
        <v>34.176470588235297</v>
      </c>
      <c r="I458" s="5">
        <v>45460</v>
      </c>
      <c r="J458" s="1">
        <v>6.2</v>
      </c>
    </row>
    <row r="459" spans="1:10" x14ac:dyDescent="0.25">
      <c r="A459" s="5">
        <v>45438</v>
      </c>
      <c r="B459" s="7">
        <v>13</v>
      </c>
      <c r="E459" s="5">
        <v>45454</v>
      </c>
      <c r="F459" s="1">
        <v>37.176470588235297</v>
      </c>
      <c r="I459" s="5">
        <v>45461</v>
      </c>
      <c r="J459" s="1">
        <v>1.6666666666666667</v>
      </c>
    </row>
    <row r="460" spans="1:10" x14ac:dyDescent="0.25">
      <c r="A460" s="5">
        <v>45439</v>
      </c>
      <c r="B460" s="7">
        <v>13</v>
      </c>
      <c r="E460" s="5">
        <v>45455</v>
      </c>
      <c r="F460" s="1">
        <v>36.647058823529413</v>
      </c>
      <c r="I460" s="5">
        <v>45462</v>
      </c>
      <c r="J460" s="1">
        <v>4.5</v>
      </c>
    </row>
    <row r="461" spans="1:10" x14ac:dyDescent="0.25">
      <c r="A461" s="5">
        <v>45440</v>
      </c>
      <c r="B461" s="7">
        <v>13</v>
      </c>
      <c r="E461" s="5">
        <v>45456</v>
      </c>
      <c r="F461" s="1">
        <v>34.941176470588232</v>
      </c>
      <c r="I461" s="5">
        <v>45463</v>
      </c>
      <c r="J461" s="1">
        <v>7.666666666666667</v>
      </c>
    </row>
    <row r="462" spans="1:10" x14ac:dyDescent="0.25">
      <c r="A462" s="5">
        <v>45441</v>
      </c>
      <c r="B462" s="7">
        <v>20</v>
      </c>
      <c r="E462" s="5">
        <v>45457</v>
      </c>
      <c r="F462" s="1">
        <v>44</v>
      </c>
      <c r="I462" s="5">
        <v>45464</v>
      </c>
      <c r="J462" s="1">
        <v>4.4000000000000004</v>
      </c>
    </row>
    <row r="463" spans="1:10" x14ac:dyDescent="0.25">
      <c r="A463" s="5">
        <v>45442</v>
      </c>
      <c r="B463" s="7">
        <v>15</v>
      </c>
      <c r="E463" s="5">
        <v>45458</v>
      </c>
      <c r="F463" s="1">
        <v>38.913043478260867</v>
      </c>
      <c r="I463" s="5">
        <v>45465</v>
      </c>
      <c r="J463" s="1">
        <v>6.5</v>
      </c>
    </row>
    <row r="464" spans="1:10" x14ac:dyDescent="0.25">
      <c r="A464" s="5">
        <v>45443</v>
      </c>
      <c r="B464" s="7">
        <v>19</v>
      </c>
      <c r="E464" s="5">
        <v>45459</v>
      </c>
      <c r="F464" s="1">
        <v>31</v>
      </c>
      <c r="I464" s="5">
        <v>45466</v>
      </c>
      <c r="J464" s="1">
        <v>5</v>
      </c>
    </row>
    <row r="465" spans="1:10" x14ac:dyDescent="0.25">
      <c r="A465" s="5">
        <v>45444</v>
      </c>
      <c r="B465" s="7">
        <v>17</v>
      </c>
      <c r="E465" s="5">
        <v>45460</v>
      </c>
      <c r="F465" s="1">
        <v>34.227272727272727</v>
      </c>
      <c r="I465" s="5">
        <v>45467</v>
      </c>
      <c r="J465" s="1">
        <v>5.25</v>
      </c>
    </row>
    <row r="466" spans="1:10" x14ac:dyDescent="0.25">
      <c r="A466" s="5">
        <v>45445</v>
      </c>
      <c r="B466" s="7">
        <v>10</v>
      </c>
      <c r="E466" s="5">
        <v>45461</v>
      </c>
      <c r="F466" s="1">
        <v>31</v>
      </c>
      <c r="I466" s="5">
        <v>45468</v>
      </c>
      <c r="J466" s="1">
        <v>4.75</v>
      </c>
    </row>
    <row r="467" spans="1:10" x14ac:dyDescent="0.25">
      <c r="A467" s="5">
        <v>45446</v>
      </c>
      <c r="B467" s="7">
        <v>23</v>
      </c>
      <c r="E467" s="5">
        <v>45462</v>
      </c>
      <c r="F467" s="1">
        <v>32.153846153846153</v>
      </c>
      <c r="I467" s="5">
        <v>45469</v>
      </c>
      <c r="J467" s="1">
        <v>5</v>
      </c>
    </row>
    <row r="468" spans="1:10" x14ac:dyDescent="0.25">
      <c r="A468" s="5">
        <v>45447</v>
      </c>
      <c r="B468" s="7">
        <v>15</v>
      </c>
      <c r="E468" s="5">
        <v>45463</v>
      </c>
      <c r="F468" s="1">
        <v>32.785714285714285</v>
      </c>
      <c r="I468" s="5">
        <v>45470</v>
      </c>
      <c r="J468" s="1">
        <v>4</v>
      </c>
    </row>
    <row r="469" spans="1:10" x14ac:dyDescent="0.25">
      <c r="A469" s="5">
        <v>45448</v>
      </c>
      <c r="B469" s="7">
        <v>14</v>
      </c>
      <c r="E469" s="5">
        <v>45464</v>
      </c>
      <c r="F469" s="1">
        <v>30</v>
      </c>
      <c r="I469" s="5">
        <v>45471</v>
      </c>
      <c r="J469" s="1">
        <v>5.333333333333333</v>
      </c>
    </row>
    <row r="470" spans="1:10" x14ac:dyDescent="0.25">
      <c r="A470" s="5">
        <v>45449</v>
      </c>
      <c r="B470" s="7">
        <v>11</v>
      </c>
      <c r="E470" s="5">
        <v>45465</v>
      </c>
      <c r="F470" s="1">
        <v>33.5</v>
      </c>
      <c r="I470" s="5">
        <v>45472</v>
      </c>
      <c r="J470" s="1">
        <v>6</v>
      </c>
    </row>
    <row r="471" spans="1:10" x14ac:dyDescent="0.25">
      <c r="A471" s="5">
        <v>45450</v>
      </c>
      <c r="B471" s="7">
        <v>15</v>
      </c>
      <c r="E471" s="5">
        <v>45466</v>
      </c>
      <c r="F471" s="1">
        <v>32.950000000000003</v>
      </c>
      <c r="I471" s="5">
        <v>45473</v>
      </c>
      <c r="J471" s="1">
        <v>6.333333333333333</v>
      </c>
    </row>
    <row r="472" spans="1:10" x14ac:dyDescent="0.25">
      <c r="A472" s="5">
        <v>45451</v>
      </c>
      <c r="B472" s="7">
        <v>20</v>
      </c>
      <c r="E472" s="5">
        <v>45467</v>
      </c>
      <c r="F472" s="1">
        <v>35.842105263157897</v>
      </c>
      <c r="I472" s="5">
        <v>45474</v>
      </c>
      <c r="J472" s="1">
        <v>4.125</v>
      </c>
    </row>
    <row r="473" spans="1:10" x14ac:dyDescent="0.25">
      <c r="A473" s="5">
        <v>45452</v>
      </c>
      <c r="B473" s="7">
        <v>21</v>
      </c>
      <c r="E473" s="5">
        <v>45468</v>
      </c>
      <c r="F473" s="1">
        <v>33.846153846153847</v>
      </c>
      <c r="I473" s="5">
        <v>45475</v>
      </c>
      <c r="J473" s="1">
        <v>5.333333333333333</v>
      </c>
    </row>
    <row r="474" spans="1:10" x14ac:dyDescent="0.25">
      <c r="A474" s="5">
        <v>45453</v>
      </c>
      <c r="B474" s="7">
        <v>17</v>
      </c>
      <c r="E474" s="5">
        <v>45469</v>
      </c>
      <c r="F474" s="1">
        <v>39.06666666666667</v>
      </c>
      <c r="I474" s="5">
        <v>45476</v>
      </c>
      <c r="J474" s="1">
        <v>4.75</v>
      </c>
    </row>
    <row r="475" spans="1:10" x14ac:dyDescent="0.25">
      <c r="A475" s="5">
        <v>45454</v>
      </c>
      <c r="B475" s="7">
        <v>17</v>
      </c>
      <c r="E475" s="5">
        <v>45470</v>
      </c>
      <c r="F475" s="1">
        <v>36.684210526315788</v>
      </c>
      <c r="I475" s="5">
        <v>45477</v>
      </c>
      <c r="J475" s="1">
        <v>2</v>
      </c>
    </row>
    <row r="476" spans="1:10" x14ac:dyDescent="0.25">
      <c r="A476" s="5">
        <v>45455</v>
      </c>
      <c r="B476" s="7">
        <v>17</v>
      </c>
      <c r="E476" s="5">
        <v>45471</v>
      </c>
      <c r="F476" s="1">
        <v>33.764705882352942</v>
      </c>
      <c r="I476" s="5">
        <v>45478</v>
      </c>
      <c r="J476" s="1">
        <v>8</v>
      </c>
    </row>
    <row r="477" spans="1:10" x14ac:dyDescent="0.25">
      <c r="A477" s="5">
        <v>45456</v>
      </c>
      <c r="B477" s="7">
        <v>17</v>
      </c>
      <c r="E477" s="5">
        <v>45472</v>
      </c>
      <c r="F477" s="1">
        <v>34.533333333333331</v>
      </c>
      <c r="I477" s="5">
        <v>45479</v>
      </c>
      <c r="J477" s="1">
        <v>3.5</v>
      </c>
    </row>
    <row r="478" spans="1:10" x14ac:dyDescent="0.25">
      <c r="A478" s="5">
        <v>45457</v>
      </c>
      <c r="B478" s="7">
        <v>11</v>
      </c>
      <c r="E478" s="5">
        <v>45473</v>
      </c>
      <c r="F478" s="1">
        <v>42.125</v>
      </c>
      <c r="I478" s="5">
        <v>45480</v>
      </c>
      <c r="J478" s="1">
        <v>7</v>
      </c>
    </row>
    <row r="479" spans="1:10" x14ac:dyDescent="0.25">
      <c r="A479" s="5">
        <v>45458</v>
      </c>
      <c r="B479" s="7">
        <v>23</v>
      </c>
      <c r="E479" s="5">
        <v>45474</v>
      </c>
      <c r="F479" s="1">
        <v>36.941176470588232</v>
      </c>
      <c r="I479" s="5">
        <v>45481</v>
      </c>
      <c r="J479" s="1">
        <v>3.5</v>
      </c>
    </row>
    <row r="480" spans="1:10" x14ac:dyDescent="0.25">
      <c r="A480" s="5">
        <v>45459</v>
      </c>
      <c r="B480" s="7">
        <v>14</v>
      </c>
      <c r="E480" s="5">
        <v>45475</v>
      </c>
      <c r="F480" s="1">
        <v>30.842105263157894</v>
      </c>
      <c r="I480" s="5">
        <v>45482</v>
      </c>
      <c r="J480" s="1">
        <v>6.4</v>
      </c>
    </row>
    <row r="481" spans="1:10" x14ac:dyDescent="0.25">
      <c r="A481" s="5">
        <v>45460</v>
      </c>
      <c r="B481" s="7">
        <v>22</v>
      </c>
      <c r="E481" s="5">
        <v>45476</v>
      </c>
      <c r="F481" s="1">
        <v>31.833333333333332</v>
      </c>
      <c r="I481" s="5">
        <v>45483</v>
      </c>
      <c r="J481" s="1">
        <v>3.5</v>
      </c>
    </row>
    <row r="482" spans="1:10" x14ac:dyDescent="0.25">
      <c r="A482" s="5">
        <v>45461</v>
      </c>
      <c r="B482" s="7">
        <v>16</v>
      </c>
      <c r="E482" s="5">
        <v>45477</v>
      </c>
      <c r="F482" s="1">
        <v>33.777777777777779</v>
      </c>
      <c r="I482" s="5">
        <v>45484</v>
      </c>
      <c r="J482" s="1">
        <v>6.5</v>
      </c>
    </row>
    <row r="483" spans="1:10" x14ac:dyDescent="0.25">
      <c r="A483" s="5">
        <v>45462</v>
      </c>
      <c r="B483" s="7">
        <v>13</v>
      </c>
      <c r="E483" s="5">
        <v>45478</v>
      </c>
      <c r="F483" s="1">
        <v>30.466666666666665</v>
      </c>
      <c r="I483" s="5">
        <v>45485</v>
      </c>
      <c r="J483" s="1">
        <v>5.2857142857142856</v>
      </c>
    </row>
    <row r="484" spans="1:10" x14ac:dyDescent="0.25">
      <c r="A484" s="5">
        <v>45463</v>
      </c>
      <c r="B484" s="7">
        <v>14</v>
      </c>
      <c r="E484" s="5">
        <v>45479</v>
      </c>
      <c r="F484" s="1">
        <v>38.799999999999997</v>
      </c>
      <c r="I484" s="5">
        <v>45486</v>
      </c>
      <c r="J484" s="1">
        <v>4.333333333333333</v>
      </c>
    </row>
    <row r="485" spans="1:10" x14ac:dyDescent="0.25">
      <c r="A485" s="5">
        <v>45464</v>
      </c>
      <c r="B485" s="7">
        <v>12</v>
      </c>
      <c r="E485" s="5">
        <v>45480</v>
      </c>
      <c r="F485" s="1">
        <v>30.277777777777779</v>
      </c>
      <c r="I485" s="5">
        <v>45487</v>
      </c>
      <c r="J485" s="1">
        <v>3</v>
      </c>
    </row>
    <row r="486" spans="1:10" x14ac:dyDescent="0.25">
      <c r="A486" s="5">
        <v>45465</v>
      </c>
      <c r="B486" s="7">
        <v>12</v>
      </c>
      <c r="E486" s="5">
        <v>45481</v>
      </c>
      <c r="F486" s="1">
        <v>35.157894736842103</v>
      </c>
      <c r="I486" s="5">
        <v>45488</v>
      </c>
      <c r="J486" s="1">
        <v>4.333333333333333</v>
      </c>
    </row>
    <row r="487" spans="1:10" x14ac:dyDescent="0.25">
      <c r="A487" s="5">
        <v>45466</v>
      </c>
      <c r="B487" s="7">
        <v>20</v>
      </c>
      <c r="E487" s="5">
        <v>45482</v>
      </c>
      <c r="F487" s="1">
        <v>37.94736842105263</v>
      </c>
      <c r="I487" s="5">
        <v>45489</v>
      </c>
      <c r="J487" s="1">
        <v>3.3333333333333335</v>
      </c>
    </row>
    <row r="488" spans="1:10" x14ac:dyDescent="0.25">
      <c r="A488" s="5">
        <v>45467</v>
      </c>
      <c r="B488" s="7">
        <v>19</v>
      </c>
      <c r="E488" s="5">
        <v>45483</v>
      </c>
      <c r="F488" s="1">
        <v>33.92307692307692</v>
      </c>
      <c r="I488" s="5">
        <v>45490</v>
      </c>
      <c r="J488" s="1">
        <v>2.5714285714285716</v>
      </c>
    </row>
    <row r="489" spans="1:10" x14ac:dyDescent="0.25">
      <c r="A489" s="5">
        <v>45468</v>
      </c>
      <c r="B489" s="7">
        <v>13</v>
      </c>
      <c r="E489" s="5">
        <v>45484</v>
      </c>
      <c r="F489" s="1">
        <v>33.200000000000003</v>
      </c>
      <c r="I489" s="5">
        <v>45491</v>
      </c>
      <c r="J489" s="1">
        <v>3.75</v>
      </c>
    </row>
    <row r="490" spans="1:10" x14ac:dyDescent="0.25">
      <c r="A490" s="5">
        <v>45469</v>
      </c>
      <c r="B490" s="7">
        <v>15</v>
      </c>
      <c r="E490" s="5">
        <v>45485</v>
      </c>
      <c r="F490" s="1">
        <v>40.159999999999997</v>
      </c>
      <c r="I490" s="5">
        <v>45492</v>
      </c>
      <c r="J490" s="1">
        <v>8.3333333333333339</v>
      </c>
    </row>
    <row r="491" spans="1:10" x14ac:dyDescent="0.25">
      <c r="A491" s="5">
        <v>45470</v>
      </c>
      <c r="B491" s="7">
        <v>19</v>
      </c>
      <c r="E491" s="5">
        <v>45486</v>
      </c>
      <c r="F491" s="1">
        <v>41.578947368421055</v>
      </c>
      <c r="I491" s="5">
        <v>45493</v>
      </c>
      <c r="J491" s="1">
        <v>3.75</v>
      </c>
    </row>
    <row r="492" spans="1:10" x14ac:dyDescent="0.25">
      <c r="A492" s="5">
        <v>45471</v>
      </c>
      <c r="B492" s="7">
        <v>17</v>
      </c>
      <c r="E492" s="5">
        <v>45487</v>
      </c>
      <c r="F492" s="1">
        <v>36.866666666666667</v>
      </c>
      <c r="I492" s="5">
        <v>45494</v>
      </c>
      <c r="J492" s="1">
        <v>4.666666666666667</v>
      </c>
    </row>
    <row r="493" spans="1:10" x14ac:dyDescent="0.25">
      <c r="A493" s="5">
        <v>45472</v>
      </c>
      <c r="B493" s="7">
        <v>15</v>
      </c>
      <c r="E493" s="5">
        <v>45488</v>
      </c>
      <c r="F493" s="1">
        <v>33.714285714285715</v>
      </c>
      <c r="I493" s="5">
        <v>45495</v>
      </c>
      <c r="J493" s="1">
        <v>5</v>
      </c>
    </row>
    <row r="494" spans="1:10" x14ac:dyDescent="0.25">
      <c r="A494" s="5">
        <v>45473</v>
      </c>
      <c r="B494" s="7">
        <v>16</v>
      </c>
      <c r="E494" s="5">
        <v>45489</v>
      </c>
      <c r="F494" s="1">
        <v>33.700000000000003</v>
      </c>
      <c r="I494" s="5">
        <v>45496</v>
      </c>
      <c r="J494" s="1">
        <v>4.333333333333333</v>
      </c>
    </row>
    <row r="495" spans="1:10" x14ac:dyDescent="0.25">
      <c r="A495" s="5">
        <v>45474</v>
      </c>
      <c r="B495" s="7">
        <v>17</v>
      </c>
      <c r="E495" s="5">
        <v>45490</v>
      </c>
      <c r="F495" s="1">
        <v>34.642857142857146</v>
      </c>
      <c r="I495" s="5">
        <v>45497</v>
      </c>
      <c r="J495" s="1">
        <v>4.666666666666667</v>
      </c>
    </row>
    <row r="496" spans="1:10" x14ac:dyDescent="0.25">
      <c r="A496" s="5">
        <v>45475</v>
      </c>
      <c r="B496" s="7">
        <v>19</v>
      </c>
      <c r="E496" s="5">
        <v>45491</v>
      </c>
      <c r="F496" s="1">
        <v>36.5</v>
      </c>
      <c r="I496" s="5">
        <v>45498</v>
      </c>
      <c r="J496" s="1">
        <v>4.5</v>
      </c>
    </row>
    <row r="497" spans="1:10" x14ac:dyDescent="0.25">
      <c r="A497" s="5">
        <v>45476</v>
      </c>
      <c r="B497" s="7">
        <v>12</v>
      </c>
      <c r="E497" s="5">
        <v>45492</v>
      </c>
      <c r="F497" s="1">
        <v>33.058823529411768</v>
      </c>
      <c r="I497" s="5">
        <v>45499</v>
      </c>
      <c r="J497" s="1">
        <v>6</v>
      </c>
    </row>
    <row r="498" spans="1:10" x14ac:dyDescent="0.25">
      <c r="A498" s="5">
        <v>45477</v>
      </c>
      <c r="B498" s="7">
        <v>9</v>
      </c>
      <c r="E498" s="5">
        <v>45493</v>
      </c>
      <c r="F498" s="1">
        <v>33.5625</v>
      </c>
      <c r="I498" s="5">
        <v>45500</v>
      </c>
      <c r="J498" s="1">
        <v>6.8888888888888893</v>
      </c>
    </row>
    <row r="499" spans="1:10" x14ac:dyDescent="0.25">
      <c r="A499" s="5">
        <v>45478</v>
      </c>
      <c r="B499" s="7">
        <v>15</v>
      </c>
      <c r="E499" s="5">
        <v>45494</v>
      </c>
      <c r="F499" s="1">
        <v>31.555555555555557</v>
      </c>
      <c r="I499" s="5">
        <v>45501</v>
      </c>
      <c r="J499" s="1">
        <v>6.5714285714285712</v>
      </c>
    </row>
    <row r="500" spans="1:10" x14ac:dyDescent="0.25">
      <c r="A500" s="5">
        <v>45479</v>
      </c>
      <c r="B500" s="7">
        <v>10</v>
      </c>
      <c r="E500" s="5">
        <v>45495</v>
      </c>
      <c r="F500" s="1">
        <v>38.375</v>
      </c>
      <c r="I500" s="5">
        <v>45502</v>
      </c>
      <c r="J500" s="1">
        <v>4.0999999999999996</v>
      </c>
    </row>
    <row r="501" spans="1:10" x14ac:dyDescent="0.25">
      <c r="A501" s="5">
        <v>45480</v>
      </c>
      <c r="B501" s="7">
        <v>18</v>
      </c>
      <c r="E501" s="5">
        <v>45496</v>
      </c>
      <c r="F501" s="1">
        <v>35.411764705882355</v>
      </c>
      <c r="I501" s="5">
        <v>45503</v>
      </c>
      <c r="J501" s="1">
        <v>5</v>
      </c>
    </row>
    <row r="502" spans="1:10" x14ac:dyDescent="0.25">
      <c r="A502" s="5">
        <v>45481</v>
      </c>
      <c r="B502" s="7">
        <v>19</v>
      </c>
      <c r="E502" s="5">
        <v>45497</v>
      </c>
      <c r="F502" s="1">
        <v>34.909090909090907</v>
      </c>
      <c r="I502" s="5">
        <v>45504</v>
      </c>
      <c r="J502" s="1">
        <v>5.4</v>
      </c>
    </row>
    <row r="503" spans="1:10" x14ac:dyDescent="0.25">
      <c r="A503" s="5">
        <v>45482</v>
      </c>
      <c r="B503" s="7">
        <v>19</v>
      </c>
      <c r="E503" s="5">
        <v>45498</v>
      </c>
      <c r="F503" s="1">
        <v>35.133333333333333</v>
      </c>
      <c r="I503" s="5">
        <v>45505</v>
      </c>
      <c r="J503" s="1">
        <v>4.5</v>
      </c>
    </row>
    <row r="504" spans="1:10" x14ac:dyDescent="0.25">
      <c r="A504" s="5">
        <v>45483</v>
      </c>
      <c r="B504" s="7">
        <v>13</v>
      </c>
      <c r="E504" s="5">
        <v>45499</v>
      </c>
      <c r="F504" s="1">
        <v>35.07692307692308</v>
      </c>
      <c r="I504" s="5">
        <v>45506</v>
      </c>
      <c r="J504" s="1">
        <v>4.666666666666667</v>
      </c>
    </row>
    <row r="505" spans="1:10" x14ac:dyDescent="0.25">
      <c r="A505" s="5">
        <v>45484</v>
      </c>
      <c r="B505" s="7">
        <v>15</v>
      </c>
      <c r="E505" s="5">
        <v>45500</v>
      </c>
      <c r="F505" s="1">
        <v>35.352941176470587</v>
      </c>
      <c r="I505" s="5">
        <v>45507</v>
      </c>
      <c r="J505" s="1">
        <v>7.4</v>
      </c>
    </row>
    <row r="506" spans="1:10" x14ac:dyDescent="0.25">
      <c r="A506" s="5">
        <v>45485</v>
      </c>
      <c r="B506" s="7">
        <v>25</v>
      </c>
      <c r="E506" s="5">
        <v>45501</v>
      </c>
      <c r="F506" s="1">
        <v>36.6</v>
      </c>
      <c r="I506" s="5">
        <v>45508</v>
      </c>
      <c r="J506" s="1">
        <v>4.5</v>
      </c>
    </row>
    <row r="507" spans="1:10" x14ac:dyDescent="0.25">
      <c r="A507" s="5">
        <v>45486</v>
      </c>
      <c r="B507" s="7">
        <v>19</v>
      </c>
      <c r="E507" s="5">
        <v>45502</v>
      </c>
      <c r="F507" s="1">
        <v>35.799999999999997</v>
      </c>
      <c r="I507" s="5">
        <v>45509</v>
      </c>
      <c r="J507" s="1">
        <v>4.8</v>
      </c>
    </row>
    <row r="508" spans="1:10" x14ac:dyDescent="0.25">
      <c r="A508" s="5">
        <v>45487</v>
      </c>
      <c r="B508" s="7">
        <v>15</v>
      </c>
      <c r="E508" s="5">
        <v>45503</v>
      </c>
      <c r="F508" s="1">
        <v>30.307692307692307</v>
      </c>
      <c r="I508" s="5">
        <v>45510</v>
      </c>
      <c r="J508" s="1">
        <v>4.75</v>
      </c>
    </row>
    <row r="509" spans="1:10" x14ac:dyDescent="0.25">
      <c r="A509" s="5">
        <v>45488</v>
      </c>
      <c r="B509" s="7">
        <v>14</v>
      </c>
      <c r="E509" s="5">
        <v>45504</v>
      </c>
      <c r="F509" s="1">
        <v>42.75</v>
      </c>
      <c r="I509" s="5">
        <v>45512</v>
      </c>
      <c r="J509" s="1">
        <v>2.25</v>
      </c>
    </row>
    <row r="510" spans="1:10" x14ac:dyDescent="0.25">
      <c r="A510" s="5">
        <v>45489</v>
      </c>
      <c r="B510" s="7">
        <v>20</v>
      </c>
      <c r="E510" s="5">
        <v>45505</v>
      </c>
      <c r="F510" s="1">
        <v>35.285714285714285</v>
      </c>
      <c r="I510" s="5">
        <v>45513</v>
      </c>
      <c r="J510" s="1">
        <v>4</v>
      </c>
    </row>
    <row r="511" spans="1:10" x14ac:dyDescent="0.25">
      <c r="A511" s="5">
        <v>45490</v>
      </c>
      <c r="B511" s="7">
        <v>14</v>
      </c>
      <c r="E511" s="5">
        <v>45506</v>
      </c>
      <c r="F511" s="1">
        <v>31.842105263157894</v>
      </c>
      <c r="I511" s="5">
        <v>45514</v>
      </c>
      <c r="J511" s="1">
        <v>6.666666666666667</v>
      </c>
    </row>
    <row r="512" spans="1:10" x14ac:dyDescent="0.25">
      <c r="A512" s="5">
        <v>45491</v>
      </c>
      <c r="B512" s="7">
        <v>14</v>
      </c>
      <c r="E512" s="5">
        <v>45507</v>
      </c>
      <c r="F512" s="1">
        <v>34.714285714285715</v>
      </c>
      <c r="I512" s="5">
        <v>45515</v>
      </c>
      <c r="J512" s="1">
        <v>2.6666666666666665</v>
      </c>
    </row>
    <row r="513" spans="1:10" x14ac:dyDescent="0.25">
      <c r="A513" s="5">
        <v>45492</v>
      </c>
      <c r="B513" s="7">
        <v>17</v>
      </c>
      <c r="E513" s="5">
        <v>45508</v>
      </c>
      <c r="F513" s="1">
        <v>42.823529411764703</v>
      </c>
      <c r="I513" s="5">
        <v>45516</v>
      </c>
      <c r="J513" s="1">
        <v>3.6666666666666665</v>
      </c>
    </row>
    <row r="514" spans="1:10" x14ac:dyDescent="0.25">
      <c r="A514" s="5">
        <v>45493</v>
      </c>
      <c r="B514" s="7">
        <v>16</v>
      </c>
      <c r="E514" s="5">
        <v>45509</v>
      </c>
      <c r="F514" s="1">
        <v>32.157894736842103</v>
      </c>
      <c r="I514" s="5">
        <v>45517</v>
      </c>
      <c r="J514" s="1">
        <v>4</v>
      </c>
    </row>
    <row r="515" spans="1:10" x14ac:dyDescent="0.25">
      <c r="A515" s="5">
        <v>45494</v>
      </c>
      <c r="B515" s="7">
        <v>18</v>
      </c>
      <c r="E515" s="5">
        <v>45510</v>
      </c>
      <c r="F515" s="1">
        <v>34.833333333333336</v>
      </c>
      <c r="I515" s="5">
        <v>45518</v>
      </c>
      <c r="J515" s="1">
        <v>7.5</v>
      </c>
    </row>
    <row r="516" spans="1:10" x14ac:dyDescent="0.25">
      <c r="A516" s="5">
        <v>45495</v>
      </c>
      <c r="B516" s="7">
        <v>8</v>
      </c>
      <c r="E516" s="5">
        <v>45511</v>
      </c>
      <c r="F516" s="1">
        <v>33.4</v>
      </c>
      <c r="I516" s="5">
        <v>45519</v>
      </c>
      <c r="J516" s="1">
        <v>5.5</v>
      </c>
    </row>
    <row r="517" spans="1:10" x14ac:dyDescent="0.25">
      <c r="A517" s="5">
        <v>45496</v>
      </c>
      <c r="B517" s="7">
        <v>17</v>
      </c>
      <c r="E517" s="5">
        <v>45512</v>
      </c>
      <c r="F517" s="1">
        <v>28.15</v>
      </c>
      <c r="I517" s="5">
        <v>45520</v>
      </c>
      <c r="J517" s="1">
        <v>7.5</v>
      </c>
    </row>
    <row r="518" spans="1:10" x14ac:dyDescent="0.25">
      <c r="A518" s="5">
        <v>45497</v>
      </c>
      <c r="B518" s="7">
        <v>11</v>
      </c>
      <c r="E518" s="5">
        <v>45513</v>
      </c>
      <c r="F518" s="1">
        <v>31.333333333333332</v>
      </c>
      <c r="I518" s="5">
        <v>45521</v>
      </c>
      <c r="J518" s="1">
        <v>5</v>
      </c>
    </row>
    <row r="519" spans="1:10" x14ac:dyDescent="0.25">
      <c r="A519" s="5">
        <v>45498</v>
      </c>
      <c r="B519" s="7">
        <v>15</v>
      </c>
      <c r="E519" s="5">
        <v>45514</v>
      </c>
      <c r="F519" s="1">
        <v>37.375</v>
      </c>
      <c r="I519" s="5">
        <v>45522</v>
      </c>
      <c r="J519" s="1">
        <v>3.5</v>
      </c>
    </row>
    <row r="520" spans="1:10" x14ac:dyDescent="0.25">
      <c r="A520" s="5">
        <v>45499</v>
      </c>
      <c r="B520" s="7">
        <v>13</v>
      </c>
      <c r="E520" s="5">
        <v>45515</v>
      </c>
      <c r="F520" s="1">
        <v>36.0625</v>
      </c>
      <c r="I520" s="5">
        <v>45523</v>
      </c>
      <c r="J520" s="1">
        <v>6.5</v>
      </c>
    </row>
    <row r="521" spans="1:10" x14ac:dyDescent="0.25">
      <c r="A521" s="5">
        <v>45500</v>
      </c>
      <c r="B521" s="7">
        <v>17</v>
      </c>
      <c r="E521" s="5">
        <v>45516</v>
      </c>
      <c r="F521" s="1">
        <v>40.5</v>
      </c>
      <c r="I521" s="5">
        <v>45524</v>
      </c>
      <c r="J521" s="1">
        <v>5.833333333333333</v>
      </c>
    </row>
    <row r="522" spans="1:10" x14ac:dyDescent="0.25">
      <c r="A522" s="5">
        <v>45501</v>
      </c>
      <c r="B522" s="7">
        <v>20</v>
      </c>
      <c r="E522" s="5">
        <v>45517</v>
      </c>
      <c r="F522" s="1">
        <v>39.571428571428569</v>
      </c>
      <c r="I522" s="5">
        <v>45525</v>
      </c>
      <c r="J522" s="1">
        <v>4.5</v>
      </c>
    </row>
    <row r="523" spans="1:10" x14ac:dyDescent="0.25">
      <c r="A523" s="5">
        <v>45502</v>
      </c>
      <c r="B523" s="7">
        <v>20</v>
      </c>
      <c r="E523" s="5">
        <v>45518</v>
      </c>
      <c r="F523" s="1">
        <v>30.25</v>
      </c>
      <c r="I523" s="5">
        <v>45526</v>
      </c>
      <c r="J523" s="1">
        <v>3.75</v>
      </c>
    </row>
    <row r="524" spans="1:10" x14ac:dyDescent="0.25">
      <c r="A524" s="5">
        <v>45503</v>
      </c>
      <c r="B524" s="7">
        <v>13</v>
      </c>
      <c r="E524" s="5">
        <v>45519</v>
      </c>
      <c r="F524" s="1">
        <v>39.722222222222221</v>
      </c>
      <c r="I524" s="5">
        <v>45527</v>
      </c>
      <c r="J524" s="1">
        <v>10</v>
      </c>
    </row>
    <row r="525" spans="1:10" x14ac:dyDescent="0.25">
      <c r="A525" s="5">
        <v>45504</v>
      </c>
      <c r="B525" s="7">
        <v>16</v>
      </c>
      <c r="E525" s="5">
        <v>45520</v>
      </c>
      <c r="F525" s="1">
        <v>38.133333333333333</v>
      </c>
      <c r="I525" s="5">
        <v>45528</v>
      </c>
      <c r="J525" s="1">
        <v>4</v>
      </c>
    </row>
    <row r="526" spans="1:10" x14ac:dyDescent="0.25">
      <c r="A526" s="5">
        <v>45505</v>
      </c>
      <c r="B526" s="7">
        <v>28</v>
      </c>
      <c r="E526" s="5">
        <v>45521</v>
      </c>
      <c r="F526" s="1">
        <v>34.08</v>
      </c>
      <c r="I526" s="5">
        <v>45529</v>
      </c>
      <c r="J526" s="1">
        <v>8.3333333333333339</v>
      </c>
    </row>
    <row r="527" spans="1:10" x14ac:dyDescent="0.25">
      <c r="A527" s="5">
        <v>45506</v>
      </c>
      <c r="B527" s="7">
        <v>19</v>
      </c>
      <c r="E527" s="5">
        <v>45522</v>
      </c>
      <c r="F527" s="1">
        <v>30.066666666666666</v>
      </c>
      <c r="I527" s="5">
        <v>45530</v>
      </c>
      <c r="J527" s="1">
        <v>3.25</v>
      </c>
    </row>
    <row r="528" spans="1:10" x14ac:dyDescent="0.25">
      <c r="A528" s="5">
        <v>45507</v>
      </c>
      <c r="B528" s="7">
        <v>14</v>
      </c>
      <c r="E528" s="5">
        <v>45523</v>
      </c>
      <c r="F528" s="1">
        <v>33.263157894736842</v>
      </c>
      <c r="I528" s="5">
        <v>45531</v>
      </c>
      <c r="J528" s="1">
        <v>6</v>
      </c>
    </row>
    <row r="529" spans="1:10" x14ac:dyDescent="0.25">
      <c r="A529" s="5">
        <v>45508</v>
      </c>
      <c r="B529" s="7">
        <v>17</v>
      </c>
      <c r="E529" s="5">
        <v>45524</v>
      </c>
      <c r="F529" s="1">
        <v>38.565217391304351</v>
      </c>
      <c r="I529" s="5">
        <v>45532</v>
      </c>
      <c r="J529" s="1">
        <v>6</v>
      </c>
    </row>
    <row r="530" spans="1:10" x14ac:dyDescent="0.25">
      <c r="A530" s="5">
        <v>45509</v>
      </c>
      <c r="B530" s="7">
        <v>19</v>
      </c>
      <c r="E530" s="5">
        <v>45525</v>
      </c>
      <c r="F530" s="1">
        <v>28.6</v>
      </c>
      <c r="I530" s="5">
        <v>45533</v>
      </c>
      <c r="J530" s="1">
        <v>3.3333333333333335</v>
      </c>
    </row>
    <row r="531" spans="1:10" x14ac:dyDescent="0.25">
      <c r="A531" s="5">
        <v>45510</v>
      </c>
      <c r="B531" s="7">
        <v>12</v>
      </c>
      <c r="E531" s="5">
        <v>45526</v>
      </c>
      <c r="F531" s="1">
        <v>36.285714285714285</v>
      </c>
      <c r="I531" s="5">
        <v>45534</v>
      </c>
      <c r="J531" s="1">
        <v>6.666666666666667</v>
      </c>
    </row>
    <row r="532" spans="1:10" x14ac:dyDescent="0.25">
      <c r="A532" s="5">
        <v>45511</v>
      </c>
      <c r="B532" s="7">
        <v>10</v>
      </c>
      <c r="E532" s="5">
        <v>45527</v>
      </c>
      <c r="F532" s="1">
        <v>40.375</v>
      </c>
      <c r="I532" s="5">
        <v>45535</v>
      </c>
      <c r="J532" s="1">
        <v>5.625</v>
      </c>
    </row>
    <row r="533" spans="1:10" x14ac:dyDescent="0.25">
      <c r="A533" s="5">
        <v>45512</v>
      </c>
      <c r="B533" s="7">
        <v>20</v>
      </c>
      <c r="E533" s="5">
        <v>45528</v>
      </c>
      <c r="F533" s="1">
        <v>34.666666666666664</v>
      </c>
      <c r="I533" s="5">
        <v>45536</v>
      </c>
      <c r="J533" s="1">
        <v>4.2857142857142856</v>
      </c>
    </row>
    <row r="534" spans="1:10" x14ac:dyDescent="0.25">
      <c r="A534" s="5">
        <v>45513</v>
      </c>
      <c r="B534" s="7">
        <v>12</v>
      </c>
      <c r="E534" s="5">
        <v>45529</v>
      </c>
      <c r="F534" s="1">
        <v>34.863636363636367</v>
      </c>
      <c r="I534" s="5">
        <v>45537</v>
      </c>
      <c r="J534" s="1">
        <v>2.6666666666666665</v>
      </c>
    </row>
    <row r="535" spans="1:10" x14ac:dyDescent="0.25">
      <c r="A535" s="5">
        <v>45514</v>
      </c>
      <c r="B535" s="7">
        <v>24</v>
      </c>
      <c r="E535" s="5">
        <v>45530</v>
      </c>
      <c r="F535" s="1">
        <v>30.928571428571427</v>
      </c>
      <c r="I535" s="5">
        <v>45538</v>
      </c>
      <c r="J535" s="1">
        <v>3.8571428571428572</v>
      </c>
    </row>
    <row r="536" spans="1:10" x14ac:dyDescent="0.25">
      <c r="A536" s="5">
        <v>45515</v>
      </c>
      <c r="B536" s="7">
        <v>16</v>
      </c>
      <c r="E536" s="5">
        <v>45531</v>
      </c>
      <c r="F536" s="1">
        <v>35.6</v>
      </c>
      <c r="I536" s="5">
        <v>45539</v>
      </c>
      <c r="J536" s="1">
        <v>5.6</v>
      </c>
    </row>
    <row r="537" spans="1:10" x14ac:dyDescent="0.25">
      <c r="A537" s="5">
        <v>45516</v>
      </c>
      <c r="B537" s="7">
        <v>16</v>
      </c>
      <c r="E537" s="5">
        <v>45532</v>
      </c>
      <c r="F537" s="1">
        <v>34.952380952380949</v>
      </c>
      <c r="I537" s="5">
        <v>45540</v>
      </c>
      <c r="J537" s="1">
        <v>7</v>
      </c>
    </row>
    <row r="538" spans="1:10" x14ac:dyDescent="0.25">
      <c r="A538" s="5">
        <v>45517</v>
      </c>
      <c r="B538" s="7">
        <v>14</v>
      </c>
      <c r="E538" s="5">
        <v>45533</v>
      </c>
      <c r="F538" s="1">
        <v>34.411764705882355</v>
      </c>
      <c r="I538" s="5">
        <v>45541</v>
      </c>
      <c r="J538" s="1">
        <v>4</v>
      </c>
    </row>
    <row r="539" spans="1:10" x14ac:dyDescent="0.25">
      <c r="A539" s="5">
        <v>45518</v>
      </c>
      <c r="B539" s="7">
        <v>12</v>
      </c>
      <c r="E539" s="5">
        <v>45534</v>
      </c>
      <c r="F539" s="1">
        <v>34</v>
      </c>
      <c r="I539" s="5">
        <v>45542</v>
      </c>
      <c r="J539" s="1">
        <v>3.2</v>
      </c>
    </row>
    <row r="540" spans="1:10" x14ac:dyDescent="0.25">
      <c r="A540" s="5">
        <v>45519</v>
      </c>
      <c r="B540" s="7">
        <v>18</v>
      </c>
      <c r="E540" s="5">
        <v>45535</v>
      </c>
      <c r="F540" s="1">
        <v>36.421052631578945</v>
      </c>
      <c r="I540" s="5">
        <v>45543</v>
      </c>
      <c r="J540" s="1">
        <v>5.5</v>
      </c>
    </row>
    <row r="541" spans="1:10" x14ac:dyDescent="0.25">
      <c r="A541" s="5">
        <v>45520</v>
      </c>
      <c r="B541" s="7">
        <v>15</v>
      </c>
      <c r="E541" s="5">
        <v>45536</v>
      </c>
      <c r="F541" s="1">
        <v>39.304347826086953</v>
      </c>
      <c r="I541" s="5">
        <v>45544</v>
      </c>
      <c r="J541" s="1">
        <v>5</v>
      </c>
    </row>
    <row r="542" spans="1:10" x14ac:dyDescent="0.25">
      <c r="A542" s="5">
        <v>45521</v>
      </c>
      <c r="B542" s="7">
        <v>25</v>
      </c>
      <c r="E542" s="5">
        <v>45537</v>
      </c>
      <c r="F542" s="1">
        <v>36.941176470588232</v>
      </c>
      <c r="I542" s="5">
        <v>45545</v>
      </c>
      <c r="J542" s="1">
        <v>7</v>
      </c>
    </row>
    <row r="543" spans="1:10" x14ac:dyDescent="0.25">
      <c r="A543" s="5">
        <v>45522</v>
      </c>
      <c r="B543" s="7">
        <v>15</v>
      </c>
      <c r="E543" s="5">
        <v>45538</v>
      </c>
      <c r="F543" s="1">
        <v>35.549999999999997</v>
      </c>
      <c r="I543" s="5">
        <v>45546</v>
      </c>
      <c r="J543" s="1">
        <v>6</v>
      </c>
    </row>
    <row r="544" spans="1:10" x14ac:dyDescent="0.25">
      <c r="A544" s="5">
        <v>45523</v>
      </c>
      <c r="B544" s="7">
        <v>19</v>
      </c>
      <c r="E544" s="5">
        <v>45539</v>
      </c>
      <c r="F544" s="1">
        <v>32</v>
      </c>
      <c r="I544" s="5">
        <v>45547</v>
      </c>
      <c r="J544" s="1">
        <v>6.5</v>
      </c>
    </row>
    <row r="545" spans="1:10" x14ac:dyDescent="0.25">
      <c r="A545" s="5">
        <v>45524</v>
      </c>
      <c r="B545" s="7">
        <v>23</v>
      </c>
      <c r="E545" s="5">
        <v>45540</v>
      </c>
      <c r="F545" s="1">
        <v>43.81818181818182</v>
      </c>
      <c r="I545" s="5">
        <v>45548</v>
      </c>
      <c r="J545" s="1">
        <v>3.5</v>
      </c>
    </row>
    <row r="546" spans="1:10" x14ac:dyDescent="0.25">
      <c r="A546" s="5">
        <v>45525</v>
      </c>
      <c r="B546" s="7">
        <v>10</v>
      </c>
      <c r="E546" s="5">
        <v>45541</v>
      </c>
      <c r="F546" s="1">
        <v>37.823529411764703</v>
      </c>
      <c r="I546" s="5">
        <v>45549</v>
      </c>
      <c r="J546" s="1">
        <v>5.4</v>
      </c>
    </row>
    <row r="547" spans="1:10" x14ac:dyDescent="0.25">
      <c r="A547" s="5">
        <v>45526</v>
      </c>
      <c r="B547" s="7">
        <v>14</v>
      </c>
      <c r="E547" s="5">
        <v>45542</v>
      </c>
      <c r="F547" s="1">
        <v>37.533333333333331</v>
      </c>
      <c r="I547" s="5">
        <v>45550</v>
      </c>
      <c r="J547" s="1">
        <v>5</v>
      </c>
    </row>
    <row r="548" spans="1:10" x14ac:dyDescent="0.25">
      <c r="A548" s="5">
        <v>45527</v>
      </c>
      <c r="B548" s="7">
        <v>16</v>
      </c>
      <c r="E548" s="5">
        <v>45543</v>
      </c>
      <c r="F548" s="1">
        <v>31.588235294117649</v>
      </c>
      <c r="I548" s="5">
        <v>45551</v>
      </c>
      <c r="J548" s="1">
        <v>4.4000000000000004</v>
      </c>
    </row>
    <row r="549" spans="1:10" x14ac:dyDescent="0.25">
      <c r="A549" s="5">
        <v>45528</v>
      </c>
      <c r="B549" s="7">
        <v>18</v>
      </c>
      <c r="E549" s="5">
        <v>45544</v>
      </c>
      <c r="F549" s="1">
        <v>32.647058823529413</v>
      </c>
      <c r="I549" s="5">
        <v>45552</v>
      </c>
      <c r="J549" s="1">
        <v>6.75</v>
      </c>
    </row>
    <row r="550" spans="1:10" x14ac:dyDescent="0.25">
      <c r="A550" s="5">
        <v>45529</v>
      </c>
      <c r="B550" s="7">
        <v>22</v>
      </c>
      <c r="E550" s="5">
        <v>45545</v>
      </c>
      <c r="F550" s="1">
        <v>34.846153846153847</v>
      </c>
      <c r="I550" s="5">
        <v>45553</v>
      </c>
      <c r="J550" s="1">
        <v>7</v>
      </c>
    </row>
    <row r="551" spans="1:10" x14ac:dyDescent="0.25">
      <c r="A551" s="5">
        <v>45530</v>
      </c>
      <c r="B551" s="7">
        <v>14</v>
      </c>
      <c r="E551" s="5">
        <v>45546</v>
      </c>
      <c r="F551" s="1">
        <v>36.666666666666664</v>
      </c>
      <c r="I551" s="5">
        <v>45554</v>
      </c>
      <c r="J551" s="1">
        <v>4.666666666666667</v>
      </c>
    </row>
    <row r="552" spans="1:10" x14ac:dyDescent="0.25">
      <c r="A552" s="5">
        <v>45531</v>
      </c>
      <c r="B552" s="7">
        <v>15</v>
      </c>
      <c r="E552" s="5">
        <v>45547</v>
      </c>
      <c r="F552" s="1">
        <v>31.94736842105263</v>
      </c>
      <c r="I552" s="5">
        <v>45555</v>
      </c>
      <c r="J552" s="1">
        <v>3</v>
      </c>
    </row>
    <row r="553" spans="1:10" x14ac:dyDescent="0.25">
      <c r="A553" s="5">
        <v>45532</v>
      </c>
      <c r="B553" s="7">
        <v>21</v>
      </c>
      <c r="E553" s="5">
        <v>45548</v>
      </c>
      <c r="F553" s="1">
        <v>37.416666666666664</v>
      </c>
      <c r="I553" s="5">
        <v>45556</v>
      </c>
      <c r="J553" s="1">
        <v>3.4285714285714284</v>
      </c>
    </row>
    <row r="554" spans="1:10" x14ac:dyDescent="0.25">
      <c r="A554" s="5">
        <v>45533</v>
      </c>
      <c r="B554" s="7">
        <v>17</v>
      </c>
      <c r="E554" s="5">
        <v>45549</v>
      </c>
      <c r="F554" s="1">
        <v>33.4</v>
      </c>
      <c r="I554" s="5">
        <v>45558</v>
      </c>
      <c r="J554" s="1">
        <v>2.3333333333333335</v>
      </c>
    </row>
    <row r="555" spans="1:10" x14ac:dyDescent="0.25">
      <c r="A555" s="5">
        <v>45534</v>
      </c>
      <c r="B555" s="7">
        <v>16</v>
      </c>
      <c r="E555" s="5">
        <v>45550</v>
      </c>
      <c r="F555" s="1">
        <v>37.944444444444443</v>
      </c>
      <c r="I555" s="5">
        <v>45559</v>
      </c>
      <c r="J555" s="1">
        <v>6</v>
      </c>
    </row>
    <row r="556" spans="1:10" x14ac:dyDescent="0.25">
      <c r="A556" s="5">
        <v>45535</v>
      </c>
      <c r="B556" s="7">
        <v>19</v>
      </c>
      <c r="E556" s="5">
        <v>45551</v>
      </c>
      <c r="F556" s="1">
        <v>32.769230769230766</v>
      </c>
      <c r="I556" s="5">
        <v>45560</v>
      </c>
      <c r="J556" s="1">
        <v>5.8</v>
      </c>
    </row>
    <row r="557" spans="1:10" x14ac:dyDescent="0.25">
      <c r="A557" s="5">
        <v>45536</v>
      </c>
      <c r="B557" s="7">
        <v>23</v>
      </c>
      <c r="E557" s="5">
        <v>45552</v>
      </c>
      <c r="F557" s="1">
        <v>31.863636363636363</v>
      </c>
      <c r="I557" s="5">
        <v>45561</v>
      </c>
      <c r="J557" s="1">
        <v>5</v>
      </c>
    </row>
    <row r="558" spans="1:10" x14ac:dyDescent="0.25">
      <c r="A558" s="5">
        <v>45537</v>
      </c>
      <c r="B558" s="7">
        <v>17</v>
      </c>
      <c r="E558" s="5">
        <v>45553</v>
      </c>
      <c r="F558" s="1">
        <v>37.8125</v>
      </c>
      <c r="I558" s="5">
        <v>45562</v>
      </c>
      <c r="J558" s="1">
        <v>2</v>
      </c>
    </row>
    <row r="559" spans="1:10" x14ac:dyDescent="0.25">
      <c r="A559" s="5">
        <v>45538</v>
      </c>
      <c r="B559" s="7">
        <v>20</v>
      </c>
      <c r="E559" s="5">
        <v>45554</v>
      </c>
      <c r="F559" s="1">
        <v>28.46153846153846</v>
      </c>
      <c r="I559" s="5">
        <v>45563</v>
      </c>
      <c r="J559" s="1">
        <v>3</v>
      </c>
    </row>
    <row r="560" spans="1:10" x14ac:dyDescent="0.25">
      <c r="A560" s="5">
        <v>45539</v>
      </c>
      <c r="B560" s="7">
        <v>16</v>
      </c>
      <c r="E560" s="5">
        <v>45555</v>
      </c>
      <c r="F560" s="1">
        <v>33.571428571428569</v>
      </c>
      <c r="I560" s="5">
        <v>45564</v>
      </c>
      <c r="J560" s="1">
        <v>8.5</v>
      </c>
    </row>
    <row r="561" spans="1:10" x14ac:dyDescent="0.25">
      <c r="A561" s="5">
        <v>45540</v>
      </c>
      <c r="B561" s="7">
        <v>11</v>
      </c>
      <c r="E561" s="5">
        <v>45556</v>
      </c>
      <c r="F561" s="1">
        <v>35.666666666666664</v>
      </c>
      <c r="I561" s="5">
        <v>45565</v>
      </c>
      <c r="J561" s="1">
        <v>5.5714285714285712</v>
      </c>
    </row>
    <row r="562" spans="1:10" x14ac:dyDescent="0.25">
      <c r="A562" s="5">
        <v>45541</v>
      </c>
      <c r="B562" s="7">
        <v>17</v>
      </c>
      <c r="E562" s="5">
        <v>45557</v>
      </c>
      <c r="F562" s="1">
        <v>27</v>
      </c>
      <c r="I562" s="5">
        <v>45566</v>
      </c>
      <c r="J562" s="1">
        <v>4.8571428571428568</v>
      </c>
    </row>
    <row r="563" spans="1:10" x14ac:dyDescent="0.25">
      <c r="A563" s="5">
        <v>45542</v>
      </c>
      <c r="B563" s="7">
        <v>15</v>
      </c>
      <c r="E563" s="5">
        <v>45558</v>
      </c>
      <c r="F563" s="1">
        <v>42.4</v>
      </c>
      <c r="I563" s="5">
        <v>45567</v>
      </c>
      <c r="J563" s="1">
        <v>8</v>
      </c>
    </row>
    <row r="564" spans="1:10" x14ac:dyDescent="0.25">
      <c r="A564" s="5">
        <v>45543</v>
      </c>
      <c r="B564" s="7">
        <v>17</v>
      </c>
      <c r="E564" s="5">
        <v>45559</v>
      </c>
      <c r="F564" s="1">
        <v>37.333333333333336</v>
      </c>
      <c r="I564" s="5">
        <v>45568</v>
      </c>
      <c r="J564" s="1">
        <v>6</v>
      </c>
    </row>
    <row r="565" spans="1:10" x14ac:dyDescent="0.25">
      <c r="A565" s="5">
        <v>45544</v>
      </c>
      <c r="B565" s="7">
        <v>17</v>
      </c>
      <c r="E565" s="5">
        <v>45560</v>
      </c>
      <c r="F565" s="1">
        <v>34.266666666666666</v>
      </c>
      <c r="I565" s="5">
        <v>45569</v>
      </c>
      <c r="J565" s="1">
        <v>6.8</v>
      </c>
    </row>
    <row r="566" spans="1:10" x14ac:dyDescent="0.25">
      <c r="A566" s="5">
        <v>45545</v>
      </c>
      <c r="B566" s="7">
        <v>13</v>
      </c>
      <c r="E566" s="5">
        <v>45561</v>
      </c>
      <c r="F566" s="1">
        <v>34.92307692307692</v>
      </c>
      <c r="I566" s="5">
        <v>45570</v>
      </c>
      <c r="J566" s="1">
        <v>3.5</v>
      </c>
    </row>
    <row r="567" spans="1:10" x14ac:dyDescent="0.25">
      <c r="A567" s="5">
        <v>45546</v>
      </c>
      <c r="B567" s="7">
        <v>12</v>
      </c>
      <c r="E567" s="5">
        <v>45562</v>
      </c>
      <c r="F567" s="1">
        <v>33.166666666666664</v>
      </c>
      <c r="I567" s="5">
        <v>45571</v>
      </c>
      <c r="J567" s="1">
        <v>0.5</v>
      </c>
    </row>
    <row r="568" spans="1:10" x14ac:dyDescent="0.25">
      <c r="A568" s="5">
        <v>45547</v>
      </c>
      <c r="B568" s="7">
        <v>19</v>
      </c>
      <c r="E568" s="5">
        <v>45563</v>
      </c>
      <c r="F568" s="1">
        <v>32.588235294117645</v>
      </c>
      <c r="I568" s="5">
        <v>45572</v>
      </c>
      <c r="J568" s="1">
        <v>4</v>
      </c>
    </row>
    <row r="569" spans="1:10" x14ac:dyDescent="0.25">
      <c r="A569" s="5">
        <v>45548</v>
      </c>
      <c r="B569" s="7">
        <v>12</v>
      </c>
      <c r="E569" s="5">
        <v>45564</v>
      </c>
      <c r="F569" s="1">
        <v>33.294117647058826</v>
      </c>
      <c r="I569" s="5">
        <v>45573</v>
      </c>
      <c r="J569" s="1">
        <v>4.75</v>
      </c>
    </row>
    <row r="570" spans="1:10" x14ac:dyDescent="0.25">
      <c r="A570" s="5">
        <v>45549</v>
      </c>
      <c r="B570" s="7">
        <v>15</v>
      </c>
      <c r="E570" s="5">
        <v>45565</v>
      </c>
      <c r="F570" s="1">
        <v>37.411764705882355</v>
      </c>
      <c r="I570" s="5">
        <v>45574</v>
      </c>
      <c r="J570" s="1">
        <v>5</v>
      </c>
    </row>
    <row r="571" spans="1:10" x14ac:dyDescent="0.25">
      <c r="A571" s="5">
        <v>45550</v>
      </c>
      <c r="B571" s="7">
        <v>18</v>
      </c>
      <c r="E571" s="5">
        <v>45566</v>
      </c>
      <c r="F571" s="1">
        <v>37.4</v>
      </c>
      <c r="I571" s="5">
        <v>45575</v>
      </c>
      <c r="J571" s="1">
        <v>10</v>
      </c>
    </row>
    <row r="572" spans="1:10" x14ac:dyDescent="0.25">
      <c r="A572" s="5">
        <v>45551</v>
      </c>
      <c r="B572" s="7">
        <v>13</v>
      </c>
      <c r="E572" s="5">
        <v>45567</v>
      </c>
      <c r="F572" s="1">
        <v>38.545454545454547</v>
      </c>
      <c r="I572" s="5">
        <v>45576</v>
      </c>
      <c r="J572" s="1">
        <v>5.5</v>
      </c>
    </row>
    <row r="573" spans="1:10" x14ac:dyDescent="0.25">
      <c r="A573" s="5">
        <v>45552</v>
      </c>
      <c r="B573" s="7">
        <v>22</v>
      </c>
      <c r="E573" s="5">
        <v>45568</v>
      </c>
      <c r="F573" s="1">
        <v>31.333333333333332</v>
      </c>
      <c r="I573" s="5">
        <v>45577</v>
      </c>
      <c r="J573" s="1">
        <v>4</v>
      </c>
    </row>
    <row r="574" spans="1:10" x14ac:dyDescent="0.25">
      <c r="A574" s="5">
        <v>45553</v>
      </c>
      <c r="B574" s="7">
        <v>16</v>
      </c>
      <c r="E574" s="5">
        <v>45569</v>
      </c>
      <c r="F574" s="1">
        <v>36.5</v>
      </c>
      <c r="I574" s="5">
        <v>45578</v>
      </c>
      <c r="J574" s="1">
        <v>2.6666666666666665</v>
      </c>
    </row>
    <row r="575" spans="1:10" x14ac:dyDescent="0.25">
      <c r="A575" s="5">
        <v>45554</v>
      </c>
      <c r="B575" s="7">
        <v>13</v>
      </c>
      <c r="E575" s="5">
        <v>45570</v>
      </c>
      <c r="F575" s="1">
        <v>25.727272727272727</v>
      </c>
      <c r="I575" s="5">
        <v>45579</v>
      </c>
      <c r="J575" s="1">
        <v>5.1111111111111107</v>
      </c>
    </row>
    <row r="576" spans="1:10" x14ac:dyDescent="0.25">
      <c r="A576" s="5">
        <v>45555</v>
      </c>
      <c r="B576" s="7">
        <v>14</v>
      </c>
      <c r="E576" s="5">
        <v>45571</v>
      </c>
      <c r="F576" s="1">
        <v>29.272727272727273</v>
      </c>
      <c r="I576" s="5">
        <v>45580</v>
      </c>
      <c r="J576" s="1">
        <v>6.25</v>
      </c>
    </row>
    <row r="577" spans="1:10" x14ac:dyDescent="0.25">
      <c r="A577" s="5">
        <v>45556</v>
      </c>
      <c r="B577" s="7">
        <v>21</v>
      </c>
      <c r="E577" s="5">
        <v>45572</v>
      </c>
      <c r="F577" s="1">
        <v>33.5</v>
      </c>
      <c r="I577" s="5">
        <v>45581</v>
      </c>
      <c r="J577" s="1">
        <v>6.333333333333333</v>
      </c>
    </row>
    <row r="578" spans="1:10" x14ac:dyDescent="0.25">
      <c r="A578" s="5">
        <v>45557</v>
      </c>
      <c r="B578" s="7">
        <v>9</v>
      </c>
      <c r="E578" s="5">
        <v>45573</v>
      </c>
      <c r="F578" s="1">
        <v>27.1875</v>
      </c>
      <c r="I578" s="5">
        <v>45582</v>
      </c>
      <c r="J578" s="1">
        <v>7.666666666666667</v>
      </c>
    </row>
    <row r="579" spans="1:10" x14ac:dyDescent="0.25">
      <c r="A579" s="5">
        <v>45558</v>
      </c>
      <c r="B579" s="7">
        <v>10</v>
      </c>
      <c r="E579" s="5">
        <v>45574</v>
      </c>
      <c r="F579" s="1">
        <v>30.333333333333332</v>
      </c>
      <c r="I579" s="5">
        <v>45583</v>
      </c>
      <c r="J579" s="1">
        <v>5.8</v>
      </c>
    </row>
    <row r="580" spans="1:10" x14ac:dyDescent="0.25">
      <c r="A580" s="5">
        <v>45559</v>
      </c>
      <c r="B580" s="7">
        <v>15</v>
      </c>
      <c r="E580" s="5">
        <v>45575</v>
      </c>
      <c r="F580" s="1">
        <v>32.5</v>
      </c>
      <c r="I580" s="5">
        <v>45584</v>
      </c>
      <c r="J580" s="1">
        <v>6.666666666666667</v>
      </c>
    </row>
    <row r="581" spans="1:10" x14ac:dyDescent="0.25">
      <c r="A581" s="5">
        <v>45560</v>
      </c>
      <c r="B581" s="7">
        <v>15</v>
      </c>
      <c r="E581" s="5">
        <v>45576</v>
      </c>
      <c r="F581" s="1">
        <v>33.565217391304351</v>
      </c>
      <c r="I581" s="5">
        <v>45585</v>
      </c>
      <c r="J581" s="1">
        <v>5.4444444444444446</v>
      </c>
    </row>
    <row r="582" spans="1:10" x14ac:dyDescent="0.25">
      <c r="A582" s="5">
        <v>45561</v>
      </c>
      <c r="B582" s="7">
        <v>13</v>
      </c>
      <c r="E582" s="5">
        <v>45577</v>
      </c>
      <c r="F582" s="1">
        <v>37.473684210526315</v>
      </c>
      <c r="I582" s="5">
        <v>45586</v>
      </c>
      <c r="J582" s="1">
        <v>4.4000000000000004</v>
      </c>
    </row>
    <row r="583" spans="1:10" x14ac:dyDescent="0.25">
      <c r="A583" s="5">
        <v>45562</v>
      </c>
      <c r="B583" s="7">
        <v>12</v>
      </c>
      <c r="E583" s="5">
        <v>45578</v>
      </c>
      <c r="F583" s="1">
        <v>33.857142857142854</v>
      </c>
      <c r="I583" s="5">
        <v>45587</v>
      </c>
      <c r="J583" s="1">
        <v>4.8</v>
      </c>
    </row>
    <row r="584" spans="1:10" x14ac:dyDescent="0.25">
      <c r="A584" s="5">
        <v>45563</v>
      </c>
      <c r="B584" s="7">
        <v>17</v>
      </c>
      <c r="E584" s="5">
        <v>45579</v>
      </c>
      <c r="F584" s="1">
        <v>32.25</v>
      </c>
      <c r="I584" s="5">
        <v>45588</v>
      </c>
      <c r="J584" s="1">
        <v>4</v>
      </c>
    </row>
    <row r="585" spans="1:10" x14ac:dyDescent="0.25">
      <c r="A585" s="5">
        <v>45564</v>
      </c>
      <c r="B585" s="7">
        <v>17</v>
      </c>
      <c r="E585" s="5">
        <v>45580</v>
      </c>
      <c r="F585" s="1">
        <v>43.666666666666664</v>
      </c>
      <c r="I585" s="5">
        <v>45589</v>
      </c>
      <c r="J585" s="1">
        <v>8.25</v>
      </c>
    </row>
    <row r="586" spans="1:10" x14ac:dyDescent="0.25">
      <c r="A586" s="5">
        <v>45565</v>
      </c>
      <c r="B586" s="7">
        <v>17</v>
      </c>
      <c r="E586" s="5">
        <v>45581</v>
      </c>
      <c r="F586" s="1">
        <v>30.166666666666668</v>
      </c>
      <c r="I586" s="5">
        <v>45590</v>
      </c>
      <c r="J586" s="1">
        <v>4.5</v>
      </c>
    </row>
    <row r="587" spans="1:10" x14ac:dyDescent="0.25">
      <c r="A587" s="5">
        <v>45566</v>
      </c>
      <c r="B587" s="7">
        <v>20</v>
      </c>
      <c r="E587" s="5">
        <v>45582</v>
      </c>
      <c r="F587" s="1">
        <v>33.823529411764703</v>
      </c>
      <c r="I587" s="5">
        <v>45591</v>
      </c>
      <c r="J587" s="1">
        <v>3.5</v>
      </c>
    </row>
    <row r="588" spans="1:10" x14ac:dyDescent="0.25">
      <c r="A588" s="5">
        <v>45567</v>
      </c>
      <c r="B588" s="7">
        <v>11</v>
      </c>
      <c r="E588" s="5">
        <v>45583</v>
      </c>
      <c r="F588" s="1">
        <v>32.5</v>
      </c>
      <c r="I588" s="5">
        <v>45592</v>
      </c>
      <c r="J588" s="1">
        <v>7</v>
      </c>
    </row>
    <row r="589" spans="1:10" x14ac:dyDescent="0.25">
      <c r="A589" s="5">
        <v>45568</v>
      </c>
      <c r="B589" s="7">
        <v>18</v>
      </c>
      <c r="E589" s="5">
        <v>45584</v>
      </c>
      <c r="F589" s="1">
        <v>39.25</v>
      </c>
      <c r="I589" s="5">
        <v>45593</v>
      </c>
      <c r="J589" s="1">
        <v>4.5</v>
      </c>
    </row>
    <row r="590" spans="1:10" x14ac:dyDescent="0.25">
      <c r="A590" s="5">
        <v>45569</v>
      </c>
      <c r="B590" s="7">
        <v>16</v>
      </c>
      <c r="E590" s="5">
        <v>45585</v>
      </c>
      <c r="F590" s="1">
        <v>33.549999999999997</v>
      </c>
      <c r="I590" s="5">
        <v>45594</v>
      </c>
      <c r="J590" s="1">
        <v>4.666666666666667</v>
      </c>
    </row>
    <row r="591" spans="1:10" x14ac:dyDescent="0.25">
      <c r="A591" s="5">
        <v>45570</v>
      </c>
      <c r="B591" s="7">
        <v>11</v>
      </c>
      <c r="E591" s="5">
        <v>45586</v>
      </c>
      <c r="F591" s="1">
        <v>31.117647058823529</v>
      </c>
      <c r="I591" s="5">
        <v>45595</v>
      </c>
      <c r="J591" s="1">
        <v>5.8</v>
      </c>
    </row>
    <row r="592" spans="1:10" x14ac:dyDescent="0.25">
      <c r="A592" s="5">
        <v>45571</v>
      </c>
      <c r="B592" s="7">
        <v>11</v>
      </c>
      <c r="E592" s="5">
        <v>45587</v>
      </c>
      <c r="F592" s="1">
        <v>36.94736842105263</v>
      </c>
      <c r="I592" s="4" t="s">
        <v>5</v>
      </c>
      <c r="J592" s="1">
        <v>4.9920540325784666</v>
      </c>
    </row>
    <row r="593" spans="1:6" x14ac:dyDescent="0.25">
      <c r="A593" s="5">
        <v>45572</v>
      </c>
      <c r="B593" s="7">
        <v>14</v>
      </c>
      <c r="E593" s="5">
        <v>45588</v>
      </c>
      <c r="F593" s="1">
        <v>43</v>
      </c>
    </row>
    <row r="594" spans="1:6" x14ac:dyDescent="0.25">
      <c r="A594" s="5">
        <v>45573</v>
      </c>
      <c r="B594" s="7">
        <v>16</v>
      </c>
      <c r="E594" s="5">
        <v>45589</v>
      </c>
      <c r="F594" s="1">
        <v>33.055555555555557</v>
      </c>
    </row>
    <row r="595" spans="1:6" x14ac:dyDescent="0.25">
      <c r="A595" s="5">
        <v>45574</v>
      </c>
      <c r="B595" s="7">
        <v>18</v>
      </c>
      <c r="E595" s="5">
        <v>45590</v>
      </c>
      <c r="F595" s="1">
        <v>32.888888888888886</v>
      </c>
    </row>
    <row r="596" spans="1:6" x14ac:dyDescent="0.25">
      <c r="A596" s="5">
        <v>45575</v>
      </c>
      <c r="B596" s="7">
        <v>10</v>
      </c>
      <c r="E596" s="5">
        <v>45591</v>
      </c>
      <c r="F596" s="1">
        <v>26.6</v>
      </c>
    </row>
    <row r="597" spans="1:6" x14ac:dyDescent="0.25">
      <c r="A597" s="5">
        <v>45576</v>
      </c>
      <c r="B597" s="7">
        <v>23</v>
      </c>
      <c r="E597" s="5">
        <v>45592</v>
      </c>
      <c r="F597" s="1">
        <v>28.2</v>
      </c>
    </row>
    <row r="598" spans="1:6" x14ac:dyDescent="0.25">
      <c r="A598" s="5">
        <v>45577</v>
      </c>
      <c r="B598" s="7">
        <v>19</v>
      </c>
      <c r="E598" s="5">
        <v>45593</v>
      </c>
      <c r="F598" s="1">
        <v>37.642857142857146</v>
      </c>
    </row>
    <row r="599" spans="1:6" x14ac:dyDescent="0.25">
      <c r="A599" s="5">
        <v>45578</v>
      </c>
      <c r="B599" s="7">
        <v>14</v>
      </c>
      <c r="E599" s="5">
        <v>45594</v>
      </c>
      <c r="F599" s="1">
        <v>40.333333333333336</v>
      </c>
    </row>
    <row r="600" spans="1:6" x14ac:dyDescent="0.25">
      <c r="A600" s="5">
        <v>45579</v>
      </c>
      <c r="B600" s="7">
        <v>20</v>
      </c>
      <c r="E600" s="5">
        <v>45595</v>
      </c>
      <c r="F600" s="1">
        <v>35.93333333333333</v>
      </c>
    </row>
    <row r="601" spans="1:6" x14ac:dyDescent="0.25">
      <c r="A601" s="5">
        <v>45580</v>
      </c>
      <c r="B601" s="7">
        <v>15</v>
      </c>
      <c r="E601" s="4" t="s">
        <v>5</v>
      </c>
      <c r="F601" s="1">
        <v>35.259874131944443</v>
      </c>
    </row>
    <row r="602" spans="1:6" x14ac:dyDescent="0.25">
      <c r="A602" s="5">
        <v>45581</v>
      </c>
      <c r="B602" s="7">
        <v>12</v>
      </c>
    </row>
    <row r="603" spans="1:6" x14ac:dyDescent="0.25">
      <c r="A603" s="5">
        <v>45582</v>
      </c>
      <c r="B603" s="7">
        <v>17</v>
      </c>
    </row>
    <row r="604" spans="1:6" x14ac:dyDescent="0.25">
      <c r="A604" s="5">
        <v>45583</v>
      </c>
      <c r="B604" s="7">
        <v>18</v>
      </c>
    </row>
    <row r="605" spans="1:6" x14ac:dyDescent="0.25">
      <c r="A605" s="5">
        <v>45584</v>
      </c>
      <c r="B605" s="7">
        <v>16</v>
      </c>
    </row>
    <row r="606" spans="1:6" x14ac:dyDescent="0.25">
      <c r="A606" s="5">
        <v>45585</v>
      </c>
      <c r="B606" s="7">
        <v>20</v>
      </c>
    </row>
    <row r="607" spans="1:6" x14ac:dyDescent="0.25">
      <c r="A607" s="5">
        <v>45586</v>
      </c>
      <c r="B607" s="7">
        <v>17</v>
      </c>
    </row>
    <row r="608" spans="1:6" x14ac:dyDescent="0.25">
      <c r="A608" s="5">
        <v>45587</v>
      </c>
      <c r="B608" s="7">
        <v>19</v>
      </c>
    </row>
    <row r="609" spans="1:2" x14ac:dyDescent="0.25">
      <c r="A609" s="5">
        <v>45588</v>
      </c>
      <c r="B609" s="7">
        <v>17</v>
      </c>
    </row>
    <row r="610" spans="1:2" x14ac:dyDescent="0.25">
      <c r="A610" s="5">
        <v>45589</v>
      </c>
      <c r="B610" s="7">
        <v>18</v>
      </c>
    </row>
    <row r="611" spans="1:2" x14ac:dyDescent="0.25">
      <c r="A611" s="5">
        <v>45590</v>
      </c>
      <c r="B611" s="7">
        <v>18</v>
      </c>
    </row>
    <row r="612" spans="1:2" x14ac:dyDescent="0.25">
      <c r="A612" s="5">
        <v>45591</v>
      </c>
      <c r="B612" s="7">
        <v>15</v>
      </c>
    </row>
    <row r="613" spans="1:2" x14ac:dyDescent="0.25">
      <c r="A613" s="5">
        <v>45592</v>
      </c>
      <c r="B613" s="7">
        <v>10</v>
      </c>
    </row>
    <row r="614" spans="1:2" x14ac:dyDescent="0.25">
      <c r="A614" s="5">
        <v>45593</v>
      </c>
      <c r="B614" s="7">
        <v>14</v>
      </c>
    </row>
    <row r="615" spans="1:2" x14ac:dyDescent="0.25">
      <c r="A615" s="5">
        <v>45594</v>
      </c>
      <c r="B615" s="7">
        <v>9</v>
      </c>
    </row>
    <row r="616" spans="1:2" x14ac:dyDescent="0.25">
      <c r="A616" s="5">
        <v>45595</v>
      </c>
      <c r="B616" s="7">
        <v>15</v>
      </c>
    </row>
    <row r="617" spans="1:2" x14ac:dyDescent="0.25">
      <c r="A617" s="4" t="s">
        <v>5</v>
      </c>
      <c r="B617" s="7">
        <v>9216</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752F-E650-4422-8E48-4962102FE088}">
  <dimension ref="A1:W37"/>
  <sheetViews>
    <sheetView tabSelected="1" zoomScale="127" zoomScaleNormal="127" workbookViewId="0">
      <selection activeCell="N17" sqref="N17"/>
    </sheetView>
  </sheetViews>
  <sheetFormatPr defaultRowHeight="15" x14ac:dyDescent="0.25"/>
  <sheetData>
    <row r="1" spans="1:23" x14ac:dyDescent="0.25">
      <c r="A1" s="2"/>
      <c r="B1" s="2"/>
      <c r="C1" s="2"/>
      <c r="D1" s="2"/>
      <c r="E1" s="2"/>
      <c r="F1" s="2"/>
      <c r="G1" s="2"/>
      <c r="H1" s="2"/>
      <c r="I1" s="2"/>
      <c r="J1" s="2"/>
      <c r="K1" s="2"/>
      <c r="L1" s="2"/>
      <c r="M1" s="2"/>
      <c r="N1" s="2"/>
      <c r="O1" s="2"/>
      <c r="P1" s="2"/>
      <c r="Q1" s="2"/>
      <c r="R1" s="2"/>
      <c r="S1" s="2"/>
      <c r="T1" s="2"/>
      <c r="U1" s="2"/>
      <c r="V1" s="2"/>
      <c r="W1" s="2"/>
    </row>
    <row r="2" spans="1:23" x14ac:dyDescent="0.25">
      <c r="A2" s="2"/>
      <c r="B2" s="2"/>
      <c r="C2" s="2"/>
      <c r="D2" s="2"/>
      <c r="E2" s="2"/>
      <c r="F2" s="2"/>
      <c r="G2" s="2"/>
      <c r="H2" s="2"/>
      <c r="I2" s="2"/>
      <c r="J2" s="2"/>
      <c r="K2" s="2"/>
      <c r="L2" s="2"/>
      <c r="M2" s="2"/>
      <c r="N2" s="2"/>
      <c r="O2" s="2"/>
      <c r="P2" s="2"/>
      <c r="Q2" s="2"/>
      <c r="R2" s="2"/>
      <c r="S2" s="2"/>
      <c r="T2" s="2"/>
      <c r="U2" s="2"/>
      <c r="V2" s="2"/>
      <c r="W2" s="2"/>
    </row>
    <row r="3" spans="1:23" x14ac:dyDescent="0.25">
      <c r="A3" s="2"/>
      <c r="B3" s="2"/>
      <c r="C3" s="2"/>
      <c r="D3" s="2"/>
      <c r="E3" s="2"/>
      <c r="F3" s="2"/>
      <c r="G3" s="2"/>
      <c r="H3" s="2"/>
      <c r="I3" s="2"/>
      <c r="J3" s="2"/>
      <c r="K3" s="2"/>
      <c r="L3" s="2"/>
      <c r="M3" s="2"/>
      <c r="N3" s="2"/>
      <c r="O3" s="2"/>
      <c r="P3" s="2"/>
      <c r="Q3" s="2"/>
      <c r="R3" s="2"/>
      <c r="S3" s="2"/>
      <c r="T3" s="2"/>
      <c r="U3" s="2"/>
      <c r="V3" s="2"/>
      <c r="W3" s="2"/>
    </row>
    <row r="4" spans="1:23" x14ac:dyDescent="0.25">
      <c r="A4" s="2"/>
      <c r="B4" s="2"/>
      <c r="C4" s="2"/>
      <c r="D4" s="2"/>
      <c r="E4" s="2"/>
      <c r="F4" s="2"/>
      <c r="G4" s="2"/>
      <c r="H4" s="2"/>
      <c r="I4" s="2"/>
      <c r="J4" s="2"/>
      <c r="K4" s="2"/>
      <c r="L4" s="2"/>
      <c r="M4" s="2"/>
      <c r="N4" s="2"/>
      <c r="O4" s="2"/>
      <c r="P4" s="2"/>
      <c r="Q4" s="2"/>
      <c r="R4" s="2"/>
      <c r="S4" s="2"/>
      <c r="T4" s="2"/>
      <c r="U4" s="2"/>
      <c r="V4" s="2"/>
      <c r="W4" s="2"/>
    </row>
    <row r="5" spans="1:23" x14ac:dyDescent="0.25">
      <c r="A5" s="2"/>
      <c r="B5" s="2"/>
      <c r="C5" s="2"/>
      <c r="D5" s="2"/>
      <c r="E5" s="2"/>
      <c r="F5" s="2"/>
      <c r="G5" s="2"/>
      <c r="H5" s="2"/>
      <c r="I5" s="2"/>
      <c r="J5" s="2"/>
      <c r="K5" s="2"/>
      <c r="L5" s="2"/>
      <c r="M5" s="2"/>
      <c r="N5" s="2"/>
      <c r="O5" s="2"/>
      <c r="P5" s="2"/>
      <c r="Q5" s="2"/>
      <c r="R5" s="2"/>
      <c r="S5" s="2"/>
      <c r="T5" s="2"/>
      <c r="U5" s="2"/>
      <c r="V5" s="2"/>
      <c r="W5" s="2"/>
    </row>
    <row r="6" spans="1:23" x14ac:dyDescent="0.25">
      <c r="A6" s="2"/>
      <c r="B6" s="2"/>
      <c r="C6" s="2"/>
      <c r="D6" s="2"/>
      <c r="E6" s="2"/>
      <c r="F6" s="2"/>
      <c r="G6" s="2"/>
      <c r="H6" s="2"/>
      <c r="I6" s="2"/>
      <c r="J6" s="2"/>
      <c r="K6" s="2"/>
      <c r="L6" s="2"/>
      <c r="M6" s="2"/>
      <c r="N6" s="2"/>
      <c r="O6" s="2"/>
      <c r="P6" s="2"/>
      <c r="Q6" s="2"/>
      <c r="R6" s="2"/>
      <c r="S6" s="2"/>
      <c r="T6" s="2"/>
      <c r="U6" s="2"/>
      <c r="V6" s="2"/>
      <c r="W6" s="2"/>
    </row>
    <row r="7" spans="1:23" x14ac:dyDescent="0.25">
      <c r="A7" s="2"/>
      <c r="B7" s="2"/>
      <c r="C7" s="2"/>
      <c r="D7" s="2"/>
      <c r="E7" s="2"/>
      <c r="F7" s="2"/>
      <c r="G7" s="2"/>
      <c r="H7" s="2"/>
      <c r="I7" s="2"/>
      <c r="J7" s="2"/>
      <c r="K7" s="2"/>
      <c r="L7" s="2"/>
      <c r="M7" s="2"/>
      <c r="N7" s="2"/>
      <c r="O7" s="2"/>
      <c r="P7" s="2"/>
      <c r="Q7" s="2"/>
      <c r="R7" s="2"/>
      <c r="S7" s="2"/>
      <c r="T7" s="2"/>
      <c r="U7" s="2"/>
      <c r="V7" s="2"/>
      <c r="W7" s="2"/>
    </row>
    <row r="8" spans="1:23" x14ac:dyDescent="0.25">
      <c r="A8" s="2"/>
      <c r="B8" s="2"/>
      <c r="C8" s="2"/>
      <c r="D8" s="2"/>
      <c r="E8" s="2"/>
      <c r="F8" s="2"/>
      <c r="G8" s="2"/>
      <c r="H8" s="2"/>
      <c r="I8" s="2"/>
      <c r="J8" s="2"/>
      <c r="K8" s="2"/>
      <c r="L8" s="2"/>
      <c r="M8" s="2"/>
      <c r="N8" s="2"/>
      <c r="O8" s="2"/>
      <c r="P8" s="2"/>
      <c r="Q8" s="2"/>
      <c r="R8" s="2"/>
      <c r="S8" s="2"/>
      <c r="T8" s="2"/>
      <c r="U8" s="2"/>
      <c r="V8" s="2"/>
      <c r="W8" s="2"/>
    </row>
    <row r="9" spans="1:23" x14ac:dyDescent="0.25">
      <c r="A9" s="2"/>
      <c r="B9" s="2"/>
      <c r="C9" s="2"/>
      <c r="D9" s="2"/>
      <c r="E9" s="2"/>
      <c r="F9" s="2"/>
      <c r="G9" s="2"/>
      <c r="H9" s="2"/>
      <c r="I9" s="2"/>
      <c r="J9" s="2"/>
      <c r="K9" s="2"/>
      <c r="L9" s="2"/>
      <c r="M9" s="2"/>
      <c r="N9" s="2"/>
      <c r="O9" s="2"/>
      <c r="P9" s="2"/>
      <c r="Q9" s="2"/>
      <c r="R9" s="2"/>
      <c r="S9" s="2"/>
      <c r="T9" s="2"/>
      <c r="U9" s="2"/>
      <c r="V9" s="2"/>
      <c r="W9" s="2"/>
    </row>
    <row r="10" spans="1:23" x14ac:dyDescent="0.25">
      <c r="A10" s="2"/>
      <c r="B10" s="2"/>
      <c r="C10" s="2"/>
      <c r="D10" s="2"/>
      <c r="E10" s="2"/>
      <c r="F10" s="2"/>
      <c r="G10" s="2"/>
      <c r="H10" s="2"/>
      <c r="I10" s="2"/>
      <c r="J10" s="2"/>
      <c r="K10" s="2"/>
      <c r="L10" s="2"/>
      <c r="M10" s="2"/>
      <c r="N10" s="2"/>
      <c r="O10" s="2"/>
      <c r="P10" s="2"/>
      <c r="Q10" s="2"/>
      <c r="R10" s="2"/>
      <c r="S10" s="2"/>
      <c r="T10" s="2"/>
      <c r="U10" s="2"/>
      <c r="V10" s="2"/>
      <c r="W10" s="2"/>
    </row>
    <row r="11" spans="1:23" x14ac:dyDescent="0.25">
      <c r="A11" s="2"/>
      <c r="B11" s="2"/>
      <c r="C11" s="2"/>
      <c r="D11" s="2"/>
      <c r="E11" s="2"/>
      <c r="F11" s="2"/>
      <c r="G11" s="2"/>
      <c r="H11" s="2"/>
      <c r="I11" s="2"/>
      <c r="J11" s="2"/>
      <c r="K11" s="2"/>
      <c r="L11" s="2"/>
      <c r="M11" s="2"/>
      <c r="N11" s="2"/>
      <c r="O11" s="2"/>
      <c r="P11" s="2"/>
      <c r="Q11" s="2"/>
      <c r="R11" s="2"/>
      <c r="S11" s="2"/>
      <c r="T11" s="2"/>
      <c r="U11" s="2"/>
      <c r="V11" s="2"/>
      <c r="W11" s="2"/>
    </row>
    <row r="12" spans="1:23" x14ac:dyDescent="0.25">
      <c r="A12" s="2"/>
      <c r="B12" s="2"/>
      <c r="C12" s="2"/>
      <c r="D12" s="2"/>
      <c r="E12" s="2"/>
      <c r="F12" s="2"/>
      <c r="G12" s="2"/>
      <c r="H12" s="2"/>
      <c r="I12" s="2"/>
      <c r="J12" s="2"/>
      <c r="K12" s="2"/>
      <c r="L12" s="2"/>
      <c r="M12" s="2"/>
      <c r="N12" s="2"/>
      <c r="O12" s="2"/>
      <c r="P12" s="2"/>
      <c r="Q12" s="2"/>
      <c r="R12" s="2"/>
      <c r="S12" s="2"/>
      <c r="T12" s="2"/>
      <c r="U12" s="2"/>
      <c r="V12" s="2"/>
      <c r="W12" s="2"/>
    </row>
    <row r="13" spans="1:23" x14ac:dyDescent="0.25">
      <c r="A13" s="2"/>
      <c r="B13" s="2"/>
      <c r="C13" s="2"/>
      <c r="D13" s="2"/>
      <c r="E13" s="2"/>
      <c r="F13" s="2"/>
      <c r="G13" s="2"/>
      <c r="H13" s="2"/>
      <c r="I13" s="2"/>
      <c r="J13" s="2"/>
      <c r="K13" s="2"/>
      <c r="L13" s="2"/>
      <c r="M13" s="2"/>
      <c r="N13" s="2"/>
      <c r="O13" s="2"/>
      <c r="P13" s="2"/>
      <c r="Q13" s="2"/>
      <c r="R13" s="2"/>
      <c r="S13" s="2"/>
      <c r="T13" s="2"/>
      <c r="U13" s="2"/>
      <c r="V13" s="2"/>
      <c r="W13" s="2"/>
    </row>
    <row r="14" spans="1:23" x14ac:dyDescent="0.25">
      <c r="A14" s="2"/>
      <c r="B14" s="2"/>
      <c r="C14" s="2"/>
      <c r="D14" s="2"/>
      <c r="E14" s="2"/>
      <c r="F14" s="2"/>
      <c r="G14" s="2"/>
      <c r="H14" s="2"/>
      <c r="I14" s="2"/>
      <c r="J14" s="2"/>
      <c r="K14" s="2"/>
      <c r="L14" s="2"/>
      <c r="M14" s="2"/>
      <c r="N14" s="2"/>
      <c r="O14" s="2"/>
      <c r="P14" s="2"/>
      <c r="Q14" s="2"/>
      <c r="R14" s="2"/>
      <c r="S14" s="2"/>
      <c r="T14" s="2"/>
      <c r="U14" s="2"/>
      <c r="V14" s="2"/>
      <c r="W14" s="2"/>
    </row>
    <row r="15" spans="1:23" x14ac:dyDescent="0.25">
      <c r="A15" s="2"/>
      <c r="B15" s="2"/>
      <c r="C15" s="2"/>
      <c r="D15" s="2"/>
      <c r="E15" s="2"/>
      <c r="F15" s="2"/>
      <c r="G15" s="2"/>
      <c r="H15" s="2"/>
      <c r="I15" s="2"/>
      <c r="J15" s="2"/>
      <c r="K15" s="2"/>
      <c r="L15" s="2"/>
      <c r="M15" s="2"/>
      <c r="N15" s="2"/>
      <c r="O15" s="2"/>
      <c r="P15" s="2"/>
      <c r="Q15" s="2"/>
      <c r="R15" s="2"/>
      <c r="S15" s="2"/>
      <c r="T15" s="2"/>
      <c r="U15" s="2"/>
      <c r="V15" s="2"/>
      <c r="W15" s="2"/>
    </row>
    <row r="16" spans="1:23" x14ac:dyDescent="0.25">
      <c r="A16" s="2"/>
      <c r="B16" s="2"/>
      <c r="C16" s="2"/>
      <c r="D16" s="2"/>
      <c r="E16" s="2"/>
      <c r="F16" s="2"/>
      <c r="G16" s="2"/>
      <c r="H16" s="2"/>
      <c r="I16" s="2"/>
      <c r="J16" s="2"/>
      <c r="K16" s="2"/>
      <c r="L16" s="2"/>
      <c r="M16" s="2"/>
      <c r="N16" s="2"/>
      <c r="O16" s="2"/>
      <c r="P16" s="2"/>
      <c r="Q16" s="2"/>
      <c r="R16" s="2"/>
      <c r="S16" s="2"/>
      <c r="T16" s="2"/>
      <c r="U16" s="2"/>
      <c r="V16" s="2"/>
      <c r="W16" s="2"/>
    </row>
    <row r="17" spans="1:23" x14ac:dyDescent="0.25">
      <c r="A17" s="2"/>
      <c r="B17" s="2"/>
      <c r="C17" s="2"/>
      <c r="D17" s="2"/>
      <c r="E17" s="2"/>
      <c r="F17" s="2"/>
      <c r="G17" s="2"/>
      <c r="H17" s="2"/>
      <c r="I17" s="2"/>
      <c r="J17" s="2"/>
      <c r="K17" s="2"/>
      <c r="L17" s="2"/>
      <c r="M17" s="2"/>
      <c r="N17" s="2"/>
      <c r="O17" s="2"/>
      <c r="P17" s="2"/>
      <c r="Q17" s="2"/>
      <c r="R17" s="2"/>
      <c r="S17" s="2"/>
      <c r="T17" s="2"/>
      <c r="U17" s="2"/>
      <c r="V17" s="2"/>
      <c r="W17" s="2"/>
    </row>
    <row r="18" spans="1:23" x14ac:dyDescent="0.25">
      <c r="A18" s="2"/>
      <c r="B18" s="2"/>
      <c r="C18" s="2"/>
      <c r="D18" s="2"/>
      <c r="E18" s="2"/>
      <c r="F18" s="2"/>
      <c r="G18" s="2"/>
      <c r="H18" s="2"/>
      <c r="I18" s="2"/>
      <c r="J18" s="2"/>
      <c r="K18" s="2"/>
      <c r="L18" s="2"/>
      <c r="M18" s="2"/>
      <c r="N18" s="2"/>
      <c r="O18" s="2"/>
      <c r="P18" s="2"/>
      <c r="Q18" s="2"/>
      <c r="R18" s="2"/>
      <c r="S18" s="2"/>
      <c r="T18" s="2"/>
      <c r="U18" s="2"/>
      <c r="V18" s="2"/>
      <c r="W18" s="2"/>
    </row>
    <row r="19" spans="1:23" x14ac:dyDescent="0.25">
      <c r="A19" s="2"/>
      <c r="B19" s="2"/>
      <c r="C19" s="2"/>
      <c r="D19" s="2"/>
      <c r="E19" s="2"/>
      <c r="F19" s="2"/>
      <c r="G19" s="2"/>
      <c r="H19" s="2"/>
      <c r="I19" s="2"/>
      <c r="J19" s="2"/>
      <c r="K19" s="2"/>
      <c r="L19" s="2"/>
      <c r="M19" s="2"/>
      <c r="N19" s="2"/>
      <c r="O19" s="2"/>
      <c r="P19" s="2"/>
      <c r="Q19" s="2"/>
      <c r="R19" s="2"/>
      <c r="S19" s="2"/>
      <c r="T19" s="2"/>
      <c r="U19" s="2"/>
      <c r="V19" s="2"/>
      <c r="W19" s="2"/>
    </row>
    <row r="20" spans="1:23" x14ac:dyDescent="0.25">
      <c r="A20" s="2"/>
      <c r="B20" s="2"/>
      <c r="C20" s="2"/>
      <c r="D20" s="2"/>
      <c r="E20" s="2"/>
      <c r="F20" s="2"/>
      <c r="G20" s="2"/>
      <c r="H20" s="2"/>
      <c r="I20" s="2"/>
      <c r="J20" s="2"/>
      <c r="K20" s="2"/>
      <c r="L20" s="2"/>
      <c r="M20" s="2"/>
      <c r="N20" s="2"/>
      <c r="O20" s="2"/>
      <c r="P20" s="2"/>
      <c r="Q20" s="2"/>
      <c r="R20" s="2"/>
      <c r="S20" s="2"/>
      <c r="T20" s="2"/>
      <c r="U20" s="2"/>
      <c r="V20" s="2"/>
      <c r="W20" s="2"/>
    </row>
    <row r="21" spans="1:23" x14ac:dyDescent="0.25">
      <c r="A21" s="2"/>
      <c r="B21" s="2"/>
      <c r="C21" s="2"/>
      <c r="D21" s="2"/>
      <c r="E21" s="2"/>
      <c r="F21" s="2"/>
      <c r="G21" s="2"/>
      <c r="H21" s="2"/>
      <c r="I21" s="2"/>
      <c r="J21" s="2"/>
      <c r="K21" s="2"/>
      <c r="L21" s="2"/>
      <c r="M21" s="2"/>
      <c r="N21" s="2"/>
      <c r="O21" s="2"/>
      <c r="P21" s="2"/>
      <c r="Q21" s="2"/>
      <c r="R21" s="2"/>
      <c r="S21" s="2"/>
      <c r="T21" s="2"/>
      <c r="U21" s="2"/>
      <c r="V21" s="2"/>
      <c r="W21" s="2"/>
    </row>
    <row r="22" spans="1:23" x14ac:dyDescent="0.25">
      <c r="A22" s="2"/>
      <c r="B22" s="2"/>
      <c r="C22" s="2"/>
      <c r="D22" s="2"/>
      <c r="E22" s="2"/>
      <c r="F22" s="2"/>
      <c r="G22" s="2"/>
      <c r="H22" s="2"/>
      <c r="I22" s="2"/>
      <c r="J22" s="2"/>
      <c r="K22" s="2"/>
      <c r="L22" s="2"/>
      <c r="M22" s="2"/>
      <c r="N22" s="2"/>
      <c r="O22" s="2"/>
      <c r="P22" s="2"/>
      <c r="Q22" s="2"/>
      <c r="R22" s="2"/>
      <c r="S22" s="2"/>
      <c r="T22" s="2"/>
      <c r="U22" s="2"/>
      <c r="V22" s="2"/>
      <c r="W22" s="2"/>
    </row>
    <row r="23" spans="1:23" x14ac:dyDescent="0.25">
      <c r="A23" s="2"/>
      <c r="B23" s="2"/>
      <c r="C23" s="2"/>
      <c r="D23" s="2"/>
      <c r="E23" s="2"/>
      <c r="F23" s="2"/>
      <c r="G23" s="2"/>
      <c r="H23" s="2"/>
      <c r="I23" s="2"/>
      <c r="J23" s="2"/>
      <c r="K23" s="2"/>
      <c r="L23" s="2"/>
      <c r="M23" s="2"/>
      <c r="N23" s="2"/>
      <c r="O23" s="2"/>
      <c r="P23" s="2"/>
      <c r="Q23" s="2"/>
      <c r="R23" s="2"/>
      <c r="S23" s="2"/>
      <c r="T23" s="2"/>
      <c r="U23" s="2"/>
      <c r="V23" s="2"/>
      <c r="W23" s="2"/>
    </row>
    <row r="24" spans="1:23" x14ac:dyDescent="0.25">
      <c r="A24" s="2"/>
      <c r="B24" s="2"/>
      <c r="C24" s="2"/>
      <c r="D24" s="2"/>
      <c r="E24" s="2"/>
      <c r="F24" s="2"/>
      <c r="G24" s="2"/>
      <c r="H24" s="2"/>
      <c r="I24" s="2"/>
      <c r="J24" s="2"/>
      <c r="K24" s="2"/>
      <c r="L24" s="2"/>
      <c r="M24" s="2"/>
      <c r="N24" s="2"/>
      <c r="O24" s="2"/>
      <c r="P24" s="2"/>
      <c r="Q24" s="2"/>
      <c r="R24" s="2"/>
      <c r="S24" s="2"/>
      <c r="T24" s="2"/>
      <c r="U24" s="2"/>
      <c r="V24" s="2"/>
      <c r="W24" s="2"/>
    </row>
    <row r="25" spans="1:23" x14ac:dyDescent="0.25">
      <c r="A25" s="2"/>
      <c r="B25" s="2"/>
      <c r="C25" s="2"/>
      <c r="D25" s="2"/>
      <c r="E25" s="2"/>
      <c r="F25" s="2"/>
      <c r="G25" s="2"/>
      <c r="H25" s="2"/>
      <c r="I25" s="2"/>
      <c r="J25" s="2"/>
      <c r="K25" s="2"/>
      <c r="L25" s="2"/>
      <c r="M25" s="2"/>
      <c r="N25" s="2"/>
      <c r="O25" s="2"/>
      <c r="P25" s="2"/>
      <c r="Q25" s="2"/>
      <c r="R25" s="2"/>
      <c r="S25" s="2"/>
      <c r="T25" s="2"/>
      <c r="U25" s="2"/>
      <c r="V25" s="2"/>
      <c r="W25" s="2"/>
    </row>
    <row r="26" spans="1:23" x14ac:dyDescent="0.25">
      <c r="A26" s="2"/>
      <c r="B26" s="2"/>
      <c r="C26" s="2"/>
      <c r="D26" s="2"/>
      <c r="E26" s="2"/>
      <c r="F26" s="2"/>
      <c r="G26" s="2"/>
      <c r="H26" s="2"/>
      <c r="I26" s="2"/>
      <c r="J26" s="2"/>
      <c r="K26" s="2"/>
      <c r="L26" s="2"/>
      <c r="M26" s="2"/>
      <c r="N26" s="2"/>
      <c r="O26" s="2"/>
      <c r="P26" s="2"/>
      <c r="Q26" s="2"/>
      <c r="R26" s="2"/>
      <c r="S26" s="2"/>
      <c r="T26" s="2"/>
      <c r="U26" s="2"/>
      <c r="V26" s="2"/>
      <c r="W26" s="2"/>
    </row>
    <row r="27" spans="1:23" x14ac:dyDescent="0.25">
      <c r="A27" s="2"/>
      <c r="B27" s="2"/>
      <c r="C27" s="2"/>
      <c r="D27" s="2"/>
      <c r="E27" s="2"/>
      <c r="F27" s="2"/>
      <c r="G27" s="2"/>
      <c r="H27" s="2"/>
      <c r="I27" s="2"/>
      <c r="J27" s="2"/>
      <c r="K27" s="2"/>
      <c r="L27" s="2"/>
      <c r="M27" s="2"/>
      <c r="N27" s="2"/>
      <c r="O27" s="2"/>
      <c r="P27" s="2"/>
      <c r="Q27" s="2"/>
      <c r="R27" s="2"/>
      <c r="S27" s="2"/>
      <c r="T27" s="2"/>
      <c r="U27" s="2"/>
      <c r="V27" s="2"/>
      <c r="W27" s="2"/>
    </row>
    <row r="28" spans="1:23" x14ac:dyDescent="0.25">
      <c r="A28" s="2"/>
      <c r="B28" s="2"/>
      <c r="C28" s="2"/>
      <c r="D28" s="2"/>
      <c r="E28" s="2"/>
      <c r="F28" s="2"/>
      <c r="G28" s="2"/>
      <c r="H28" s="2"/>
      <c r="I28" s="2"/>
      <c r="J28" s="2"/>
      <c r="K28" s="2"/>
      <c r="L28" s="2"/>
      <c r="M28" s="2"/>
      <c r="N28" s="2"/>
      <c r="O28" s="2"/>
      <c r="P28" s="2"/>
      <c r="Q28" s="2"/>
      <c r="R28" s="2"/>
      <c r="S28" s="2"/>
      <c r="T28" s="2"/>
      <c r="U28" s="2"/>
      <c r="V28" s="2"/>
      <c r="W28" s="2"/>
    </row>
    <row r="29" spans="1:23" x14ac:dyDescent="0.25">
      <c r="A29" s="2"/>
      <c r="B29" s="2"/>
      <c r="C29" s="2"/>
      <c r="D29" s="2"/>
      <c r="E29" s="2"/>
      <c r="F29" s="2"/>
      <c r="G29" s="2"/>
      <c r="H29" s="2"/>
      <c r="I29" s="2"/>
      <c r="J29" s="2"/>
      <c r="K29" s="2"/>
      <c r="L29" s="2"/>
      <c r="M29" s="2"/>
      <c r="N29" s="2"/>
      <c r="O29" s="2"/>
      <c r="P29" s="2"/>
      <c r="Q29" s="2"/>
      <c r="R29" s="2"/>
      <c r="S29" s="2"/>
      <c r="T29" s="2"/>
      <c r="U29" s="2"/>
      <c r="V29" s="2"/>
      <c r="W29" s="2"/>
    </row>
    <row r="30" spans="1:23" x14ac:dyDescent="0.25">
      <c r="A30" s="2"/>
      <c r="B30" s="2"/>
      <c r="C30" s="2"/>
      <c r="D30" s="2"/>
      <c r="E30" s="2"/>
      <c r="F30" s="2"/>
      <c r="G30" s="2"/>
      <c r="H30" s="2"/>
      <c r="I30" s="2"/>
      <c r="J30" s="2"/>
      <c r="K30" s="2"/>
      <c r="L30" s="2"/>
      <c r="M30" s="2"/>
      <c r="N30" s="2"/>
      <c r="O30" s="2"/>
      <c r="P30" s="2"/>
      <c r="Q30" s="2"/>
      <c r="R30" s="2"/>
      <c r="S30" s="2"/>
      <c r="T30" s="2"/>
      <c r="U30" s="2"/>
      <c r="V30" s="2"/>
      <c r="W30" s="2"/>
    </row>
    <row r="31" spans="1:23" x14ac:dyDescent="0.25">
      <c r="A31" s="2"/>
      <c r="B31" s="2"/>
      <c r="C31" s="2"/>
      <c r="D31" s="2"/>
      <c r="E31" s="2"/>
      <c r="F31" s="2"/>
      <c r="G31" s="2"/>
      <c r="H31" s="2"/>
      <c r="I31" s="2"/>
      <c r="J31" s="2"/>
      <c r="K31" s="2"/>
      <c r="L31" s="2"/>
      <c r="M31" s="2"/>
      <c r="N31" s="2"/>
      <c r="O31" s="2"/>
      <c r="P31" s="2"/>
      <c r="Q31" s="2"/>
      <c r="R31" s="2"/>
      <c r="S31" s="2"/>
      <c r="T31" s="2"/>
      <c r="U31" s="2"/>
      <c r="V31" s="2"/>
      <c r="W31" s="2"/>
    </row>
    <row r="32" spans="1:23" x14ac:dyDescent="0.25">
      <c r="A32" s="2"/>
      <c r="B32" s="2"/>
      <c r="C32" s="2"/>
      <c r="D32" s="2"/>
      <c r="E32" s="2"/>
      <c r="F32" s="2"/>
      <c r="G32" s="2"/>
      <c r="H32" s="2"/>
      <c r="I32" s="2"/>
      <c r="J32" s="2"/>
      <c r="K32" s="2"/>
      <c r="L32" s="2"/>
      <c r="M32" s="2"/>
      <c r="N32" s="2"/>
      <c r="O32" s="2"/>
      <c r="P32" s="2"/>
      <c r="Q32" s="2"/>
      <c r="R32" s="2"/>
      <c r="S32" s="2"/>
      <c r="T32" s="2"/>
      <c r="U32" s="2"/>
      <c r="V32" s="2"/>
      <c r="W32" s="2"/>
    </row>
    <row r="33" spans="1:23" x14ac:dyDescent="0.25">
      <c r="A33" s="2"/>
      <c r="B33" s="2"/>
      <c r="C33" s="2"/>
      <c r="D33" s="2"/>
      <c r="E33" s="2"/>
      <c r="F33" s="2"/>
      <c r="G33" s="2"/>
      <c r="H33" s="2"/>
      <c r="I33" s="2"/>
      <c r="J33" s="2"/>
      <c r="K33" s="2"/>
      <c r="L33" s="2"/>
      <c r="M33" s="2"/>
      <c r="N33" s="2"/>
      <c r="O33" s="2"/>
      <c r="P33" s="2"/>
      <c r="Q33" s="2"/>
      <c r="R33" s="2"/>
      <c r="S33" s="2"/>
      <c r="T33" s="2"/>
      <c r="U33" s="2"/>
      <c r="V33" s="2"/>
      <c r="W33" s="2"/>
    </row>
    <row r="34" spans="1:23" x14ac:dyDescent="0.25">
      <c r="A34" s="2"/>
      <c r="B34" s="2"/>
      <c r="C34" s="2"/>
      <c r="D34" s="2"/>
      <c r="E34" s="2"/>
      <c r="F34" s="2"/>
      <c r="G34" s="2"/>
      <c r="H34" s="2"/>
      <c r="I34" s="2"/>
      <c r="J34" s="2"/>
      <c r="K34" s="2"/>
      <c r="L34" s="2"/>
      <c r="M34" s="2"/>
      <c r="N34" s="2"/>
      <c r="O34" s="2"/>
      <c r="P34" s="2"/>
      <c r="Q34" s="2"/>
      <c r="R34" s="2"/>
      <c r="S34" s="2"/>
      <c r="T34" s="2"/>
      <c r="U34" s="2"/>
      <c r="V34" s="2"/>
      <c r="W34" s="2"/>
    </row>
    <row r="35" spans="1:23" x14ac:dyDescent="0.25">
      <c r="A35" s="2"/>
      <c r="B35" s="2"/>
      <c r="C35" s="2"/>
      <c r="D35" s="2"/>
      <c r="E35" s="2"/>
      <c r="F35" s="2"/>
      <c r="G35" s="2"/>
      <c r="H35" s="2"/>
      <c r="I35" s="2"/>
      <c r="J35" s="2"/>
      <c r="K35" s="2"/>
      <c r="L35" s="2"/>
      <c r="M35" s="2"/>
      <c r="N35" s="2"/>
      <c r="O35" s="2"/>
      <c r="P35" s="2"/>
      <c r="Q35" s="2"/>
      <c r="R35" s="2"/>
      <c r="S35" s="2"/>
      <c r="T35" s="2"/>
      <c r="U35" s="2"/>
      <c r="V35" s="2"/>
      <c r="W35" s="2"/>
    </row>
    <row r="36" spans="1:23" x14ac:dyDescent="0.25">
      <c r="A36" s="2"/>
      <c r="B36" s="2"/>
      <c r="C36" s="2"/>
      <c r="D36" s="2"/>
      <c r="E36" s="2"/>
      <c r="F36" s="2"/>
      <c r="G36" s="2"/>
      <c r="H36" s="2"/>
      <c r="I36" s="2"/>
      <c r="J36" s="2"/>
      <c r="K36" s="2"/>
      <c r="L36" s="2"/>
      <c r="M36" s="2"/>
      <c r="N36" s="2"/>
      <c r="O36" s="2"/>
      <c r="P36" s="2"/>
      <c r="Q36" s="2"/>
      <c r="R36" s="2"/>
      <c r="S36" s="2"/>
      <c r="T36" s="2"/>
      <c r="U36" s="2"/>
      <c r="V36" s="2"/>
      <c r="W36" s="2"/>
    </row>
    <row r="37" spans="1:23" x14ac:dyDescent="0.25">
      <c r="A37" s="2"/>
      <c r="B37" s="2"/>
      <c r="C37" s="2"/>
      <c r="D37" s="2"/>
      <c r="E37" s="2"/>
      <c r="F37" s="2"/>
      <c r="G37" s="2"/>
      <c r="H37" s="2"/>
      <c r="I37" s="2"/>
      <c r="J37" s="2"/>
      <c r="K37" s="2"/>
      <c r="L37" s="2"/>
      <c r="M37" s="2"/>
      <c r="N37" s="2"/>
      <c r="O37" s="2"/>
      <c r="P37" s="2"/>
      <c r="Q37" s="2"/>
      <c r="R37" s="2"/>
      <c r="S37" s="2"/>
      <c r="T37" s="2"/>
      <c r="U37" s="2"/>
      <c r="V37" s="2"/>
      <c r="W37"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63EE-9368-4B0C-85FB-06CD749B153C}">
  <dimension ref="A1:Z46"/>
  <sheetViews>
    <sheetView workbookViewId="0"/>
  </sheetViews>
  <sheetFormatPr defaultRowHeight="15" x14ac:dyDescent="0.25"/>
  <sheetData>
    <row r="1" spans="1:26" x14ac:dyDescent="0.25">
      <c r="A1" s="6"/>
      <c r="B1" s="6"/>
      <c r="C1" s="6"/>
      <c r="D1" s="6"/>
      <c r="E1" s="6"/>
      <c r="F1" s="6"/>
      <c r="G1" s="6"/>
      <c r="H1" s="6"/>
      <c r="I1" s="6"/>
      <c r="J1" s="6"/>
      <c r="K1" s="6"/>
      <c r="L1" s="6"/>
      <c r="M1" s="6"/>
      <c r="N1" s="6"/>
      <c r="O1" s="6"/>
      <c r="P1" s="6"/>
      <c r="Q1" s="6"/>
      <c r="R1" s="6"/>
      <c r="S1" s="6"/>
      <c r="T1" s="6"/>
      <c r="U1" s="6"/>
      <c r="V1" s="6"/>
      <c r="W1" s="6"/>
      <c r="X1" s="6"/>
      <c r="Y1" s="6"/>
      <c r="Z1" s="6"/>
    </row>
    <row r="2" spans="1:26" x14ac:dyDescent="0.25">
      <c r="A2" s="6"/>
      <c r="B2" s="6"/>
      <c r="C2" s="6"/>
      <c r="D2" s="6"/>
      <c r="E2" s="6"/>
      <c r="F2" s="6"/>
      <c r="G2" s="6"/>
      <c r="H2" s="6"/>
      <c r="I2" s="6"/>
      <c r="J2" s="6"/>
      <c r="K2" s="6"/>
      <c r="L2" s="6"/>
      <c r="M2" s="6"/>
      <c r="N2" s="6"/>
      <c r="O2" s="6"/>
      <c r="P2" s="6"/>
      <c r="Q2" s="6"/>
      <c r="R2" s="6"/>
      <c r="S2" s="6"/>
      <c r="T2" s="6"/>
      <c r="U2" s="6"/>
      <c r="V2" s="6"/>
      <c r="W2" s="6"/>
      <c r="X2" s="6"/>
      <c r="Y2" s="6"/>
      <c r="Z2" s="6"/>
    </row>
    <row r="3" spans="1:26" x14ac:dyDescent="0.25">
      <c r="A3" s="6"/>
      <c r="B3" s="6"/>
      <c r="C3" s="6"/>
      <c r="D3" s="6"/>
      <c r="E3" s="6"/>
      <c r="F3" s="6"/>
      <c r="G3" s="6"/>
      <c r="H3" s="6"/>
      <c r="I3" s="6"/>
      <c r="J3" s="6"/>
      <c r="K3" s="6"/>
      <c r="L3" s="6"/>
      <c r="M3" s="6"/>
      <c r="N3" s="6"/>
      <c r="O3" s="6"/>
      <c r="P3" s="6"/>
      <c r="Q3" s="6"/>
      <c r="R3" s="6"/>
      <c r="S3" s="6"/>
      <c r="T3" s="6"/>
      <c r="U3" s="6"/>
      <c r="V3" s="6"/>
      <c r="W3" s="6"/>
      <c r="X3" s="6"/>
      <c r="Y3" s="6"/>
      <c r="Z3" s="6"/>
    </row>
    <row r="4" spans="1:26" x14ac:dyDescent="0.25">
      <c r="A4" s="6"/>
      <c r="B4" s="6"/>
      <c r="C4" s="6"/>
      <c r="D4" s="6"/>
      <c r="E4" s="6"/>
      <c r="F4" s="6"/>
      <c r="G4" s="6"/>
      <c r="H4" s="6"/>
      <c r="I4" s="6"/>
      <c r="J4" s="6"/>
      <c r="K4" s="6"/>
      <c r="L4" s="6"/>
      <c r="M4" s="6"/>
      <c r="N4" s="6"/>
      <c r="O4" s="6"/>
      <c r="P4" s="6"/>
      <c r="Q4" s="6"/>
      <c r="R4" s="6"/>
      <c r="S4" s="6"/>
      <c r="T4" s="6"/>
      <c r="U4" s="6"/>
      <c r="V4" s="6"/>
      <c r="W4" s="6"/>
      <c r="X4" s="6"/>
      <c r="Y4" s="6"/>
      <c r="Z4" s="6"/>
    </row>
    <row r="5" spans="1:26" x14ac:dyDescent="0.25">
      <c r="A5" s="6"/>
      <c r="B5" s="6"/>
      <c r="C5" s="6"/>
      <c r="D5" s="6"/>
      <c r="E5" s="6"/>
      <c r="F5" s="6"/>
      <c r="G5" s="6"/>
      <c r="H5" s="6"/>
      <c r="I5" s="6"/>
      <c r="J5" s="6"/>
      <c r="K5" s="6"/>
      <c r="L5" s="6"/>
      <c r="M5" s="6"/>
      <c r="N5" s="6"/>
      <c r="O5" s="6"/>
      <c r="P5" s="6"/>
      <c r="Q5" s="6"/>
      <c r="R5" s="6"/>
      <c r="S5" s="6"/>
      <c r="T5" s="6"/>
      <c r="U5" s="6"/>
      <c r="V5" s="6"/>
      <c r="W5" s="6"/>
      <c r="X5" s="6"/>
      <c r="Y5" s="6"/>
      <c r="Z5" s="6"/>
    </row>
    <row r="6" spans="1:26" x14ac:dyDescent="0.25">
      <c r="A6" s="6"/>
      <c r="B6" s="6"/>
      <c r="C6" s="6"/>
      <c r="D6" s="6"/>
      <c r="E6" s="6"/>
      <c r="F6" s="6"/>
      <c r="G6" s="6"/>
      <c r="H6" s="6"/>
      <c r="I6" s="6"/>
      <c r="J6" s="6"/>
      <c r="K6" s="6"/>
      <c r="L6" s="6"/>
      <c r="M6" s="6"/>
      <c r="N6" s="6"/>
      <c r="O6" s="6"/>
      <c r="P6" s="6"/>
      <c r="Q6" s="6"/>
      <c r="R6" s="6"/>
      <c r="S6" s="6"/>
      <c r="T6" s="6"/>
      <c r="U6" s="6"/>
      <c r="V6" s="6"/>
      <c r="W6" s="6"/>
      <c r="X6" s="6"/>
      <c r="Y6" s="6"/>
      <c r="Z6" s="6"/>
    </row>
    <row r="7" spans="1:26"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33C5-33E5-4649-B0FD-5D472DF8FEC6}">
  <dimension ref="A1:Z46"/>
  <sheetViews>
    <sheetView workbookViewId="0"/>
  </sheetViews>
  <sheetFormatPr defaultRowHeight="15" x14ac:dyDescent="0.25"/>
  <sheetData>
    <row r="1" spans="1:26" x14ac:dyDescent="0.25">
      <c r="A1" s="6"/>
      <c r="B1" s="6"/>
      <c r="C1" s="6"/>
      <c r="D1" s="6"/>
      <c r="E1" s="6"/>
      <c r="F1" s="6"/>
      <c r="G1" s="6"/>
      <c r="H1" s="6"/>
      <c r="I1" s="6"/>
      <c r="J1" s="6"/>
      <c r="K1" s="6"/>
      <c r="L1" s="6"/>
      <c r="M1" s="6"/>
      <c r="N1" s="6"/>
      <c r="O1" s="6"/>
      <c r="P1" s="6"/>
      <c r="Q1" s="6"/>
      <c r="R1" s="6"/>
      <c r="S1" s="6"/>
      <c r="T1" s="6"/>
      <c r="U1" s="6"/>
      <c r="V1" s="6"/>
      <c r="W1" s="6"/>
      <c r="X1" s="6"/>
      <c r="Y1" s="6"/>
      <c r="Z1" s="6"/>
    </row>
    <row r="2" spans="1:26" x14ac:dyDescent="0.25">
      <c r="A2" s="6"/>
      <c r="B2" s="6"/>
      <c r="C2" s="6"/>
      <c r="D2" s="6"/>
      <c r="E2" s="6"/>
      <c r="F2" s="6"/>
      <c r="G2" s="6"/>
      <c r="H2" s="6"/>
      <c r="I2" s="6"/>
      <c r="J2" s="6"/>
      <c r="K2" s="6"/>
      <c r="L2" s="6"/>
      <c r="M2" s="6"/>
      <c r="N2" s="6"/>
      <c r="O2" s="6"/>
      <c r="P2" s="6"/>
      <c r="Q2" s="6"/>
      <c r="R2" s="6"/>
      <c r="S2" s="6"/>
      <c r="T2" s="6"/>
      <c r="U2" s="6"/>
      <c r="V2" s="6"/>
      <c r="W2" s="6"/>
      <c r="X2" s="6"/>
      <c r="Y2" s="6"/>
      <c r="Z2" s="6"/>
    </row>
    <row r="3" spans="1:26" x14ac:dyDescent="0.25">
      <c r="A3" s="6"/>
      <c r="B3" s="6"/>
      <c r="C3" s="6"/>
      <c r="D3" s="6"/>
      <c r="E3" s="6"/>
      <c r="F3" s="6"/>
      <c r="G3" s="6"/>
      <c r="H3" s="6"/>
      <c r="I3" s="6"/>
      <c r="J3" s="6"/>
      <c r="K3" s="6"/>
      <c r="L3" s="6"/>
      <c r="M3" s="6"/>
      <c r="N3" s="6"/>
      <c r="O3" s="6"/>
      <c r="P3" s="6"/>
      <c r="Q3" s="6"/>
      <c r="R3" s="6"/>
      <c r="S3" s="6"/>
      <c r="T3" s="6"/>
      <c r="U3" s="6"/>
      <c r="V3" s="6"/>
      <c r="W3" s="6"/>
      <c r="X3" s="6"/>
      <c r="Y3" s="6"/>
      <c r="Z3" s="6"/>
    </row>
    <row r="4" spans="1:26" x14ac:dyDescent="0.25">
      <c r="A4" s="6"/>
      <c r="B4" s="6"/>
      <c r="C4" s="6"/>
      <c r="D4" s="6"/>
      <c r="E4" s="6"/>
      <c r="F4" s="6"/>
      <c r="G4" s="6"/>
      <c r="H4" s="6"/>
      <c r="I4" s="6"/>
      <c r="J4" s="6"/>
      <c r="K4" s="6"/>
      <c r="L4" s="6"/>
      <c r="M4" s="6"/>
      <c r="N4" s="6"/>
      <c r="O4" s="6"/>
      <c r="P4" s="6"/>
      <c r="Q4" s="6"/>
      <c r="R4" s="6"/>
      <c r="S4" s="6"/>
      <c r="T4" s="6"/>
      <c r="U4" s="6"/>
      <c r="V4" s="6"/>
      <c r="W4" s="6"/>
      <c r="X4" s="6"/>
      <c r="Y4" s="6"/>
      <c r="Z4" s="6"/>
    </row>
    <row r="5" spans="1:26" x14ac:dyDescent="0.25">
      <c r="A5" s="6"/>
      <c r="B5" s="6"/>
      <c r="C5" s="6"/>
      <c r="D5" s="6"/>
      <c r="E5" s="6"/>
      <c r="F5" s="6"/>
      <c r="G5" s="6"/>
      <c r="H5" s="6"/>
      <c r="I5" s="6"/>
      <c r="J5" s="6"/>
      <c r="K5" s="6"/>
      <c r="L5" s="6"/>
      <c r="M5" s="6"/>
      <c r="N5" s="6"/>
      <c r="O5" s="6"/>
      <c r="P5" s="6"/>
      <c r="Q5" s="6"/>
      <c r="R5" s="6"/>
      <c r="S5" s="6"/>
      <c r="T5" s="6"/>
      <c r="U5" s="6"/>
      <c r="V5" s="6"/>
      <c r="W5" s="6"/>
      <c r="X5" s="6"/>
      <c r="Y5" s="6"/>
      <c r="Z5" s="6"/>
    </row>
    <row r="6" spans="1:26" x14ac:dyDescent="0.25">
      <c r="A6" s="6"/>
      <c r="B6" s="6"/>
      <c r="C6" s="6"/>
      <c r="D6" s="6"/>
      <c r="E6" s="6"/>
      <c r="F6" s="6"/>
      <c r="G6" s="6"/>
      <c r="H6" s="6"/>
      <c r="I6" s="6"/>
      <c r="J6" s="6"/>
      <c r="K6" s="6"/>
      <c r="L6" s="6"/>
      <c r="M6" s="6"/>
      <c r="N6" s="6"/>
      <c r="O6" s="6"/>
      <c r="P6" s="6"/>
      <c r="Q6" s="6"/>
      <c r="R6" s="6"/>
      <c r="S6" s="6"/>
      <c r="T6" s="6"/>
      <c r="U6" s="6"/>
      <c r="V6" s="6"/>
      <c r="W6" s="6"/>
      <c r="X6" s="6"/>
      <c r="Y6" s="6"/>
      <c r="Z6" s="6"/>
    </row>
    <row r="7" spans="1:26"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EF31-B2BC-4028-9267-974480989066}">
  <dimension ref="A1:Z46"/>
  <sheetViews>
    <sheetView workbookViewId="0">
      <selection activeCell="AB24" sqref="AB24"/>
    </sheetView>
  </sheetViews>
  <sheetFormatPr defaultRowHeight="15" x14ac:dyDescent="0.25"/>
  <sheetData>
    <row r="1" spans="1:26" x14ac:dyDescent="0.25">
      <c r="A1" s="6"/>
      <c r="B1" s="6"/>
      <c r="C1" s="6"/>
      <c r="D1" s="6"/>
      <c r="E1" s="6"/>
      <c r="F1" s="6"/>
      <c r="G1" s="6"/>
      <c r="H1" s="6"/>
      <c r="I1" s="6"/>
      <c r="J1" s="6"/>
      <c r="K1" s="6"/>
      <c r="L1" s="6"/>
      <c r="M1" s="6"/>
      <c r="N1" s="6"/>
      <c r="O1" s="6"/>
      <c r="P1" s="6"/>
      <c r="Q1" s="6"/>
      <c r="R1" s="6"/>
      <c r="S1" s="6"/>
      <c r="T1" s="6"/>
      <c r="U1" s="6"/>
      <c r="V1" s="6"/>
      <c r="W1" s="6"/>
      <c r="X1" s="6"/>
      <c r="Y1" s="6"/>
      <c r="Z1" s="6"/>
    </row>
    <row r="2" spans="1:26" x14ac:dyDescent="0.25">
      <c r="A2" s="6"/>
      <c r="B2" s="6"/>
      <c r="C2" s="6"/>
      <c r="D2" s="6"/>
      <c r="E2" s="6"/>
      <c r="F2" s="6"/>
      <c r="G2" s="6"/>
      <c r="H2" s="6"/>
      <c r="I2" s="6"/>
      <c r="J2" s="6"/>
      <c r="K2" s="6"/>
      <c r="L2" s="6"/>
      <c r="M2" s="6"/>
      <c r="N2" s="6"/>
      <c r="O2" s="6"/>
      <c r="P2" s="6"/>
      <c r="Q2" s="6"/>
      <c r="R2" s="6"/>
      <c r="S2" s="6"/>
      <c r="T2" s="6"/>
      <c r="U2" s="6"/>
      <c r="V2" s="6"/>
      <c r="W2" s="6"/>
      <c r="X2" s="6"/>
      <c r="Y2" s="6"/>
      <c r="Z2" s="6"/>
    </row>
    <row r="3" spans="1:26" x14ac:dyDescent="0.25">
      <c r="A3" s="6"/>
      <c r="B3" s="6"/>
      <c r="C3" s="6"/>
      <c r="D3" s="6"/>
      <c r="E3" s="6"/>
      <c r="F3" s="6"/>
      <c r="G3" s="6"/>
      <c r="H3" s="6"/>
      <c r="I3" s="6"/>
      <c r="J3" s="6"/>
      <c r="K3" s="6"/>
      <c r="L3" s="6"/>
      <c r="M3" s="6"/>
      <c r="N3" s="6"/>
      <c r="O3" s="6"/>
      <c r="P3" s="6"/>
      <c r="Q3" s="6"/>
      <c r="R3" s="6"/>
      <c r="S3" s="6"/>
      <c r="T3" s="6"/>
      <c r="U3" s="6"/>
      <c r="V3" s="6"/>
      <c r="W3" s="6"/>
      <c r="X3" s="6"/>
      <c r="Y3" s="6"/>
      <c r="Z3" s="6"/>
    </row>
    <row r="4" spans="1:26" x14ac:dyDescent="0.25">
      <c r="A4" s="6"/>
      <c r="B4" s="6"/>
      <c r="C4" s="6"/>
      <c r="D4" s="6"/>
      <c r="E4" s="6"/>
      <c r="F4" s="6"/>
      <c r="G4" s="6"/>
      <c r="H4" s="6"/>
      <c r="I4" s="6"/>
      <c r="J4" s="6"/>
      <c r="K4" s="6"/>
      <c r="L4" s="6"/>
      <c r="M4" s="6"/>
      <c r="N4" s="6"/>
      <c r="O4" s="6"/>
      <c r="P4" s="6"/>
      <c r="Q4" s="6"/>
      <c r="R4" s="6"/>
      <c r="S4" s="6"/>
      <c r="T4" s="6"/>
      <c r="U4" s="6"/>
      <c r="V4" s="6"/>
      <c r="W4" s="6"/>
      <c r="X4" s="6"/>
      <c r="Y4" s="6"/>
      <c r="Z4" s="6"/>
    </row>
    <row r="5" spans="1:26" x14ac:dyDescent="0.25">
      <c r="A5" s="6"/>
      <c r="B5" s="6"/>
      <c r="C5" s="6"/>
      <c r="D5" s="6"/>
      <c r="E5" s="6"/>
      <c r="F5" s="6"/>
      <c r="G5" s="6"/>
      <c r="H5" s="6"/>
      <c r="I5" s="6"/>
      <c r="J5" s="6"/>
      <c r="K5" s="6"/>
      <c r="L5" s="6"/>
      <c r="M5" s="6"/>
      <c r="N5" s="6"/>
      <c r="O5" s="6"/>
      <c r="P5" s="6"/>
      <c r="Q5" s="6"/>
      <c r="R5" s="6"/>
      <c r="S5" s="6"/>
      <c r="T5" s="6"/>
      <c r="U5" s="6"/>
      <c r="V5" s="6"/>
      <c r="W5" s="6"/>
      <c r="X5" s="6"/>
      <c r="Y5" s="6"/>
      <c r="Z5" s="6"/>
    </row>
    <row r="6" spans="1:26" x14ac:dyDescent="0.25">
      <c r="A6" s="6"/>
      <c r="B6" s="6"/>
      <c r="C6" s="6"/>
      <c r="D6" s="6"/>
      <c r="E6" s="6"/>
      <c r="F6" s="6"/>
      <c r="G6" s="6"/>
      <c r="H6" s="6"/>
      <c r="I6" s="6"/>
      <c r="J6" s="6"/>
      <c r="K6" s="6"/>
      <c r="L6" s="6"/>
      <c r="M6" s="6"/>
      <c r="N6" s="6"/>
      <c r="O6" s="6"/>
      <c r="P6" s="6"/>
      <c r="Q6" s="6"/>
      <c r="R6" s="6"/>
      <c r="S6" s="6"/>
      <c r="T6" s="6"/>
      <c r="U6" s="6"/>
      <c r="V6" s="6"/>
      <c r="W6" s="6"/>
      <c r="X6" s="6"/>
      <c r="Y6" s="6"/>
      <c r="Z6" s="6"/>
    </row>
    <row r="7" spans="1:26"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E09D75D-9F23-477B-B12D-7605D95E116A}">
  <ds:schemaRefs/>
</ds:datastoreItem>
</file>

<file path=customXml/itemProps2.xml><?xml version="1.0" encoding="utf-8"?>
<ds:datastoreItem xmlns:ds="http://schemas.openxmlformats.org/officeDocument/2006/customXml" ds:itemID="{E6FC932D-C7F9-4CCC-B28C-2F0F84F33455}">
  <ds:schemaRefs/>
</ds:datastoreItem>
</file>

<file path=customXml/itemProps3.xml><?xml version="1.0" encoding="utf-8"?>
<ds:datastoreItem xmlns:ds="http://schemas.openxmlformats.org/officeDocument/2006/customXml" ds:itemID="{65C3EBEF-D5C5-443A-9316-78A01DF758BD}">
  <ds:schemaRefs/>
</ds:datastoreItem>
</file>

<file path=customXml/itemProps4.xml><?xml version="1.0" encoding="utf-8"?>
<ds:datastoreItem xmlns:ds="http://schemas.openxmlformats.org/officeDocument/2006/customXml" ds:itemID="{14F89B09-0583-4890-B7B2-548D6639B76F}">
  <ds:schemaRefs/>
</ds:datastoreItem>
</file>

<file path=customXml/itemProps5.xml><?xml version="1.0" encoding="utf-8"?>
<ds:datastoreItem xmlns:ds="http://schemas.openxmlformats.org/officeDocument/2006/customXml" ds:itemID="{6BF66FC6-E34A-41A5-8838-7CF36955F3AF}">
  <ds:schemaRefs/>
</ds:datastoreItem>
</file>

<file path=customXml/itemProps6.xml><?xml version="1.0" encoding="utf-8"?>
<ds:datastoreItem xmlns:ds="http://schemas.openxmlformats.org/officeDocument/2006/customXml" ds:itemID="{8E3FFF2C-6BEB-4E47-B8AE-8E143AA29FF5}">
  <ds:schemaRefs/>
</ds:datastoreItem>
</file>

<file path=customXml/itemProps7.xml><?xml version="1.0" encoding="utf-8"?>
<ds:datastoreItem xmlns:ds="http://schemas.openxmlformats.org/officeDocument/2006/customXml" ds:itemID="{CB662276-E8A8-45A7-8960-ED4B0AF1718A}">
  <ds:schemaRefs/>
</ds:datastoreItem>
</file>

<file path=customXml/itemProps8.xml><?xml version="1.0" encoding="utf-8"?>
<ds:datastoreItem xmlns:ds="http://schemas.openxmlformats.org/officeDocument/2006/customXml" ds:itemID="{289D7EDE-88F0-4E6F-81AF-BF840E68A633}">
  <ds:schemaRefs>
    <ds:schemaRef ds:uri="http://schemas.microsoft.com/DataMashup"/>
  </ds:schemaRefs>
</ds:datastoreItem>
</file>

<file path=customXml/itemProps9.xml><?xml version="1.0" encoding="utf-8"?>
<ds:datastoreItem xmlns:ds="http://schemas.openxmlformats.org/officeDocument/2006/customXml" ds:itemID="{B32487D8-3FFF-48EF-8C57-EE2C0EE9277B}">
  <ds:schemaRefs/>
</ds:datastoreItem>
</file>

<file path=customXml/itemProps10.xml><?xml version="1.0" encoding="utf-8"?>
<ds:datastoreItem xmlns:ds="http://schemas.openxmlformats.org/officeDocument/2006/customXml" ds:itemID="{0608C5A7-E8F2-4804-BF96-11EF1E838E56}">
  <ds:schemaRefs/>
</ds:datastoreItem>
</file>

<file path=customXml/itemProps11.xml><?xml version="1.0" encoding="utf-8"?>
<ds:datastoreItem xmlns:ds="http://schemas.openxmlformats.org/officeDocument/2006/customXml" ds:itemID="{5DAF48B1-F8E6-48A9-B80F-6B91558AC7D2}">
  <ds:schemaRefs/>
</ds:datastoreItem>
</file>

<file path=customXml/itemProps12.xml><?xml version="1.0" encoding="utf-8"?>
<ds:datastoreItem xmlns:ds="http://schemas.openxmlformats.org/officeDocument/2006/customXml" ds:itemID="{66469729-F141-48B8-B06A-D9059CEE6CF6}">
  <ds:schemaRefs/>
</ds:datastoreItem>
</file>

<file path=customXml/itemProps13.xml><?xml version="1.0" encoding="utf-8"?>
<ds:datastoreItem xmlns:ds="http://schemas.openxmlformats.org/officeDocument/2006/customXml" ds:itemID="{28208986-E553-4D7B-B986-D9FD920F8CB7}">
  <ds:schemaRefs/>
</ds:datastoreItem>
</file>

<file path=customXml/itemProps14.xml><?xml version="1.0" encoding="utf-8"?>
<ds:datastoreItem xmlns:ds="http://schemas.openxmlformats.org/officeDocument/2006/customXml" ds:itemID="{DF78C834-E408-4778-B226-CE84824E08F2}">
  <ds:schemaRefs/>
</ds:datastoreItem>
</file>

<file path=customXml/itemProps15.xml><?xml version="1.0" encoding="utf-8"?>
<ds:datastoreItem xmlns:ds="http://schemas.openxmlformats.org/officeDocument/2006/customXml" ds:itemID="{E57EF4E6-7922-457D-B988-983C3F747696}">
  <ds:schemaRefs/>
</ds:datastoreItem>
</file>

<file path=customXml/itemProps16.xml><?xml version="1.0" encoding="utf-8"?>
<ds:datastoreItem xmlns:ds="http://schemas.openxmlformats.org/officeDocument/2006/customXml" ds:itemID="{91F39CEE-0828-4543-9A7E-C7FA53691AEC}">
  <ds:schemaRefs/>
</ds:datastoreItem>
</file>

<file path=customXml/itemProps17.xml><?xml version="1.0" encoding="utf-8"?>
<ds:datastoreItem xmlns:ds="http://schemas.openxmlformats.org/officeDocument/2006/customXml" ds:itemID="{6FAD3421-7944-46FB-A8DA-32160301D3B1}">
  <ds:schemaRefs/>
</ds:datastoreItem>
</file>

<file path=customXml/itemProps18.xml><?xml version="1.0" encoding="utf-8"?>
<ds:datastoreItem xmlns:ds="http://schemas.openxmlformats.org/officeDocument/2006/customXml" ds:itemID="{14D96327-99B2-46EC-82F4-3D1B10EC53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Patient Satisfaction Score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LBSTI Gautam Nagar</dc:creator>
  <cp:lastModifiedBy>LBSTI Gautam Nagar</cp:lastModifiedBy>
  <dcterms:created xsi:type="dcterms:W3CDTF">2026-01-12T13:46:23Z</dcterms:created>
  <dcterms:modified xsi:type="dcterms:W3CDTF">2026-01-17T09:44:22Z</dcterms:modified>
</cp:coreProperties>
</file>